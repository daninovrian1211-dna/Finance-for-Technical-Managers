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NA\Coursera\Finance for Technical Managers\1_Product Cost and Investment Cash Flow Analysis\Modul 5\"/>
    </mc:Choice>
  </mc:AlternateContent>
  <xr:revisionPtr revIDLastSave="0" documentId="13_ncr:1_{CC384054-D335-4F58-AA5B-2EC5C50E2703}" xr6:coauthVersionLast="47" xr6:coauthVersionMax="47" xr10:uidLastSave="{00000000-0000-0000-0000-000000000000}"/>
  <bookViews>
    <workbookView xWindow="-110" yWindow="-110" windowWidth="19420" windowHeight="10300" xr2:uid="{739865BD-3B99-4ABB-96D7-4E1B6DCFC7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G15" i="1"/>
  <c r="F15" i="1"/>
  <c r="F14" i="1"/>
  <c r="G14" i="1" s="1"/>
  <c r="G13" i="1"/>
  <c r="F13" i="1"/>
  <c r="E14" i="1"/>
  <c r="E15" i="1"/>
  <c r="E16" i="1"/>
  <c r="E17" i="1"/>
  <c r="E18" i="1"/>
  <c r="E19" i="1"/>
  <c r="E20" i="1"/>
  <c r="E21" i="1"/>
  <c r="E22" i="1"/>
  <c r="E13" i="1"/>
  <c r="D14" i="1"/>
  <c r="D15" i="1"/>
  <c r="D16" i="1"/>
  <c r="D17" i="1"/>
  <c r="D18" i="1"/>
  <c r="D19" i="1"/>
  <c r="D20" i="1"/>
  <c r="D21" i="1"/>
  <c r="D22" i="1"/>
  <c r="D13" i="1"/>
  <c r="C14" i="1"/>
  <c r="C15" i="1"/>
  <c r="C16" i="1"/>
  <c r="C17" i="1"/>
  <c r="C18" i="1"/>
  <c r="C19" i="1"/>
  <c r="C20" i="1"/>
  <c r="C21" i="1"/>
  <c r="C22" i="1"/>
  <c r="C13" i="1"/>
  <c r="B15" i="1"/>
  <c r="B16" i="1"/>
  <c r="B17" i="1"/>
  <c r="B18" i="1"/>
  <c r="B19" i="1"/>
  <c r="B20" i="1"/>
  <c r="B21" i="1"/>
  <c r="B22" i="1"/>
  <c r="B14" i="1"/>
  <c r="B13" i="1"/>
</calcChain>
</file>

<file path=xl/sharedStrings.xml><?xml version="1.0" encoding="utf-8"?>
<sst xmlns="http://schemas.openxmlformats.org/spreadsheetml/2006/main" count="30" uniqueCount="26">
  <si>
    <t>401K Analysis</t>
  </si>
  <si>
    <t>Annual Salary Increase</t>
  </si>
  <si>
    <t>Anticipated Annual Rate of Return</t>
  </si>
  <si>
    <t>Starting Salary:</t>
  </si>
  <si>
    <t>Your Contribution per month:</t>
  </si>
  <si>
    <t>Company Match of your contribution:</t>
  </si>
  <si>
    <t>Portfolio Value Today:</t>
  </si>
  <si>
    <t>this is your starting salary</t>
  </si>
  <si>
    <t>this is a pre-tax contribution as a % of your salary</t>
  </si>
  <si>
    <t>this is your company's matching contribution to your contribution</t>
  </si>
  <si>
    <t>this is how much salary grows each year</t>
  </si>
  <si>
    <t>this is your expected annual return</t>
  </si>
  <si>
    <t>this is what you have in your retirement fund today</t>
  </si>
  <si>
    <t>ACTUAL</t>
  </si>
  <si>
    <t>PLAN</t>
  </si>
  <si>
    <t>EOY Value</t>
  </si>
  <si>
    <t>of Total Portfolio</t>
  </si>
  <si>
    <t>Beginning Year Salary</t>
  </si>
  <si>
    <t>Year</t>
  </si>
  <si>
    <t>Monthly Personal</t>
  </si>
  <si>
    <t>Contribution</t>
  </si>
  <si>
    <t>Monthly Company</t>
  </si>
  <si>
    <t>EOY Value from</t>
  </si>
  <si>
    <t>Monthly Contribution</t>
  </si>
  <si>
    <t>from Previous Year</t>
  </si>
  <si>
    <t>($/year)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</si>
</sst>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9" fontId="0" fillId="0" borderId="0" xfId="1" applyFont="1"/>
    <xf numFmtId="164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horizontal="center"/>
    </xf>
    <xf numFmtId="0" fontId="4" fillId="0" borderId="0" xfId="0" applyFont="1"/>
    <xf numFmtId="0" fontId="2" fillId="2" borderId="1" xfId="0" applyFont="1" applyFill="1" applyBorder="1"/>
    <xf numFmtId="164" fontId="0" fillId="7" borderId="1" xfId="0" applyNumberFormat="1" applyFill="1" applyBorder="1"/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5" borderId="1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5FEF5-28FD-4633-8D81-A5C5CBD54AE0}">
  <dimension ref="A1:H22"/>
  <sheetViews>
    <sheetView tabSelected="1" zoomScale="85" zoomScaleNormal="85" workbookViewId="0">
      <selection activeCell="G25" sqref="G25"/>
    </sheetView>
  </sheetViews>
  <sheetFormatPr defaultRowHeight="14.5" x14ac:dyDescent="0.35"/>
  <cols>
    <col min="1" max="1" width="8.26953125" customWidth="1"/>
    <col min="2" max="2" width="22.453125" customWidth="1"/>
    <col min="3" max="3" width="16.7265625" customWidth="1"/>
    <col min="4" max="4" width="18.81640625" customWidth="1"/>
    <col min="5" max="5" width="21.08984375" customWidth="1"/>
    <col min="6" max="6" width="18.90625" customWidth="1"/>
    <col min="7" max="7" width="15.54296875" customWidth="1"/>
    <col min="8" max="8" width="17" customWidth="1"/>
  </cols>
  <sheetData>
    <row r="1" spans="1:8" ht="15.5" x14ac:dyDescent="0.35">
      <c r="A1" s="12" t="s">
        <v>0</v>
      </c>
      <c r="B1" s="13"/>
      <c r="C1" s="13"/>
    </row>
    <row r="3" spans="1:8" x14ac:dyDescent="0.35">
      <c r="A3" s="11" t="s">
        <v>3</v>
      </c>
      <c r="B3" s="11"/>
      <c r="C3" s="11"/>
      <c r="D3" s="2">
        <v>100000</v>
      </c>
      <c r="E3" s="8" t="s">
        <v>7</v>
      </c>
      <c r="F3" s="8"/>
    </row>
    <row r="4" spans="1:8" x14ac:dyDescent="0.35">
      <c r="A4" s="11" t="s">
        <v>4</v>
      </c>
      <c r="B4" s="11"/>
      <c r="C4" s="11"/>
      <c r="D4" s="1">
        <v>0.08</v>
      </c>
      <c r="E4" s="8" t="s">
        <v>8</v>
      </c>
      <c r="F4" s="8"/>
    </row>
    <row r="5" spans="1:8" x14ac:dyDescent="0.35">
      <c r="A5" s="11" t="s">
        <v>5</v>
      </c>
      <c r="B5" s="11"/>
      <c r="C5" s="11"/>
      <c r="D5" s="1">
        <v>0.05</v>
      </c>
      <c r="E5" s="8" t="s">
        <v>9</v>
      </c>
      <c r="F5" s="8"/>
    </row>
    <row r="6" spans="1:8" x14ac:dyDescent="0.35">
      <c r="A6" s="11" t="s">
        <v>1</v>
      </c>
      <c r="B6" s="11"/>
      <c r="C6" s="11"/>
      <c r="D6" s="1">
        <v>0.04</v>
      </c>
      <c r="E6" s="8" t="s">
        <v>10</v>
      </c>
      <c r="F6" s="8"/>
    </row>
    <row r="7" spans="1:8" x14ac:dyDescent="0.35">
      <c r="A7" s="11" t="s">
        <v>2</v>
      </c>
      <c r="B7" s="11"/>
      <c r="C7" s="11"/>
      <c r="D7" s="1">
        <v>0.08</v>
      </c>
      <c r="E7" s="8" t="s">
        <v>11</v>
      </c>
      <c r="F7" s="8"/>
    </row>
    <row r="8" spans="1:8" x14ac:dyDescent="0.35">
      <c r="A8" s="11" t="s">
        <v>6</v>
      </c>
      <c r="B8" s="11"/>
      <c r="C8" s="11"/>
      <c r="D8" s="2">
        <v>50000</v>
      </c>
      <c r="E8" s="8" t="s">
        <v>12</v>
      </c>
      <c r="F8" s="8"/>
    </row>
    <row r="10" spans="1:8" x14ac:dyDescent="0.35">
      <c r="G10" s="5" t="s">
        <v>14</v>
      </c>
      <c r="H10" s="6" t="s">
        <v>13</v>
      </c>
    </row>
    <row r="11" spans="1:8" x14ac:dyDescent="0.35">
      <c r="A11" s="9"/>
      <c r="B11" s="9" t="s">
        <v>17</v>
      </c>
      <c r="C11" s="7" t="s">
        <v>19</v>
      </c>
      <c r="D11" s="7" t="s">
        <v>21</v>
      </c>
      <c r="E11" s="7" t="s">
        <v>22</v>
      </c>
      <c r="F11" s="7" t="s">
        <v>15</v>
      </c>
      <c r="G11" s="5" t="s">
        <v>15</v>
      </c>
      <c r="H11" s="6" t="s">
        <v>15</v>
      </c>
    </row>
    <row r="12" spans="1:8" x14ac:dyDescent="0.35">
      <c r="A12" s="7" t="s">
        <v>18</v>
      </c>
      <c r="B12" s="7" t="s">
        <v>25</v>
      </c>
      <c r="C12" s="7" t="s">
        <v>20</v>
      </c>
      <c r="D12" s="7" t="s">
        <v>20</v>
      </c>
      <c r="E12" s="7" t="s">
        <v>23</v>
      </c>
      <c r="F12" s="7" t="s">
        <v>24</v>
      </c>
      <c r="G12" s="5" t="s">
        <v>16</v>
      </c>
      <c r="H12" s="6" t="s">
        <v>16</v>
      </c>
    </row>
    <row r="13" spans="1:8" x14ac:dyDescent="0.35">
      <c r="A13" s="4">
        <v>1</v>
      </c>
      <c r="B13" s="10">
        <f>D3</f>
        <v>100000</v>
      </c>
      <c r="C13" s="10">
        <f>($B13/12)*$D$4</f>
        <v>666.66666666666674</v>
      </c>
      <c r="D13" s="10">
        <f>($B13/12)*$D$5</f>
        <v>416.66666666666674</v>
      </c>
      <c r="E13" s="10">
        <f>FV($D$7/12,12,-($C13+$D13),0)</f>
        <v>13487.419856220376</v>
      </c>
      <c r="F13" s="10">
        <f>FV($D$7,1,0,-D8)</f>
        <v>54000</v>
      </c>
      <c r="G13" s="14">
        <f>E13+F13</f>
        <v>67487.419856220382</v>
      </c>
      <c r="H13" s="3"/>
    </row>
    <row r="14" spans="1:8" x14ac:dyDescent="0.35">
      <c r="A14" s="4">
        <v>2</v>
      </c>
      <c r="B14" s="10">
        <f>$B13*(1+$D$6)</f>
        <v>104000</v>
      </c>
      <c r="C14" s="10">
        <f t="shared" ref="C14:C22" si="0">($B14/12)*$D$4</f>
        <v>693.33333333333326</v>
      </c>
      <c r="D14" s="10">
        <f t="shared" ref="D14:D22" si="1">($B14/12)*$D$5</f>
        <v>433.33333333333331</v>
      </c>
      <c r="E14" s="10">
        <f t="shared" ref="E14:E22" si="2">FV($D$7/12,12,-($C14+$D14),0)</f>
        <v>14026.916650469188</v>
      </c>
      <c r="F14" s="10">
        <f>FV($D$7,1,0,-G13)</f>
        <v>72886.413444718011</v>
      </c>
      <c r="G14" s="14">
        <f>E14+F14</f>
        <v>86913.330095187193</v>
      </c>
      <c r="H14" s="3"/>
    </row>
    <row r="15" spans="1:8" x14ac:dyDescent="0.35">
      <c r="A15" s="4">
        <v>3</v>
      </c>
      <c r="B15" s="10">
        <f t="shared" ref="B15:B22" si="3">$B14*(1+$D$6)</f>
        <v>108160</v>
      </c>
      <c r="C15" s="10">
        <f t="shared" si="0"/>
        <v>721.06666666666672</v>
      </c>
      <c r="D15" s="10">
        <f t="shared" si="1"/>
        <v>450.66666666666674</v>
      </c>
      <c r="E15" s="10">
        <f t="shared" si="2"/>
        <v>14587.99331648796</v>
      </c>
      <c r="F15" s="10">
        <f>FV($D$7,1,0,-G14)</f>
        <v>93866.396502802178</v>
      </c>
      <c r="G15" s="14">
        <f>E15+F15</f>
        <v>108454.38981929014</v>
      </c>
      <c r="H15" s="3"/>
    </row>
    <row r="16" spans="1:8" x14ac:dyDescent="0.35">
      <c r="A16" s="4">
        <v>4</v>
      </c>
      <c r="B16" s="10">
        <f t="shared" si="3"/>
        <v>112486.40000000001</v>
      </c>
      <c r="C16" s="10">
        <f t="shared" si="0"/>
        <v>749.90933333333339</v>
      </c>
      <c r="D16" s="10">
        <f t="shared" si="1"/>
        <v>468.69333333333338</v>
      </c>
      <c r="E16" s="10">
        <f t="shared" si="2"/>
        <v>15171.513049147476</v>
      </c>
      <c r="F16" s="10">
        <f t="shared" ref="F16:F22" si="4">FV($D$7,1,0,-G15)</f>
        <v>117130.74100483335</v>
      </c>
      <c r="G16" s="14">
        <f t="shared" ref="G16:G22" si="5">E16+F16</f>
        <v>132302.25405398084</v>
      </c>
      <c r="H16" s="3"/>
    </row>
    <row r="17" spans="1:8" x14ac:dyDescent="0.35">
      <c r="A17" s="4">
        <v>5</v>
      </c>
      <c r="B17" s="10">
        <f t="shared" si="3"/>
        <v>116985.85600000001</v>
      </c>
      <c r="C17" s="10">
        <f t="shared" si="0"/>
        <v>779.90570666666679</v>
      </c>
      <c r="D17" s="10">
        <f t="shared" si="1"/>
        <v>487.44106666666676</v>
      </c>
      <c r="E17" s="10">
        <f t="shared" si="2"/>
        <v>15778.373571113378</v>
      </c>
      <c r="F17" s="10">
        <f t="shared" si="4"/>
        <v>142886.43437829931</v>
      </c>
      <c r="G17" s="14">
        <f t="shared" si="5"/>
        <v>158664.80794941267</v>
      </c>
      <c r="H17" s="3"/>
    </row>
    <row r="18" spans="1:8" x14ac:dyDescent="0.35">
      <c r="A18" s="4">
        <v>6</v>
      </c>
      <c r="B18" s="10">
        <f t="shared" si="3"/>
        <v>121665.29024000002</v>
      </c>
      <c r="C18" s="10">
        <f t="shared" si="0"/>
        <v>811.10193493333338</v>
      </c>
      <c r="D18" s="10">
        <f t="shared" si="1"/>
        <v>506.93870933333341</v>
      </c>
      <c r="E18" s="10">
        <f t="shared" si="2"/>
        <v>16409.50851395791</v>
      </c>
      <c r="F18" s="10">
        <f t="shared" si="4"/>
        <v>171357.99258536569</v>
      </c>
      <c r="G18" s="14">
        <f t="shared" si="5"/>
        <v>187767.50109932359</v>
      </c>
      <c r="H18" s="3"/>
    </row>
    <row r="19" spans="1:8" x14ac:dyDescent="0.35">
      <c r="A19" s="4">
        <v>7</v>
      </c>
      <c r="B19" s="10">
        <f t="shared" si="3"/>
        <v>126531.90184960002</v>
      </c>
      <c r="C19" s="10">
        <f t="shared" si="0"/>
        <v>843.54601233066683</v>
      </c>
      <c r="D19" s="10">
        <f t="shared" si="1"/>
        <v>527.21625770666685</v>
      </c>
      <c r="E19" s="10">
        <f t="shared" si="2"/>
        <v>17065.88885451623</v>
      </c>
      <c r="F19" s="10">
        <f t="shared" si="4"/>
        <v>202788.90118726948</v>
      </c>
      <c r="G19" s="14">
        <f t="shared" si="5"/>
        <v>219854.79004178572</v>
      </c>
      <c r="H19" s="3"/>
    </row>
    <row r="20" spans="1:8" x14ac:dyDescent="0.35">
      <c r="A20" s="4">
        <v>8</v>
      </c>
      <c r="B20" s="10">
        <f t="shared" si="3"/>
        <v>131593.17792358404</v>
      </c>
      <c r="C20" s="10">
        <f t="shared" si="0"/>
        <v>877.28785282389367</v>
      </c>
      <c r="D20" s="10">
        <f t="shared" si="1"/>
        <v>548.30490801493352</v>
      </c>
      <c r="E20" s="10">
        <f t="shared" si="2"/>
        <v>17748.524408696881</v>
      </c>
      <c r="F20" s="10">
        <f t="shared" si="4"/>
        <v>237443.17324512859</v>
      </c>
      <c r="G20" s="14">
        <f t="shared" si="5"/>
        <v>255191.69765382548</v>
      </c>
      <c r="H20" s="3"/>
    </row>
    <row r="21" spans="1:8" x14ac:dyDescent="0.35">
      <c r="A21" s="4">
        <v>9</v>
      </c>
      <c r="B21" s="10">
        <f t="shared" si="3"/>
        <v>136856.9050405274</v>
      </c>
      <c r="C21" s="10">
        <f t="shared" si="0"/>
        <v>912.37936693684946</v>
      </c>
      <c r="D21" s="10">
        <f t="shared" si="1"/>
        <v>570.23710433553094</v>
      </c>
      <c r="E21" s="10">
        <f t="shared" si="2"/>
        <v>18458.465385044758</v>
      </c>
      <c r="F21" s="10">
        <f t="shared" si="4"/>
        <v>275607.03346613154</v>
      </c>
      <c r="G21" s="14">
        <f t="shared" si="5"/>
        <v>294065.49885117629</v>
      </c>
      <c r="H21" s="3"/>
    </row>
    <row r="22" spans="1:8" x14ac:dyDescent="0.35">
      <c r="A22" s="4">
        <v>10</v>
      </c>
      <c r="B22" s="10">
        <f t="shared" si="3"/>
        <v>142331.18124214851</v>
      </c>
      <c r="C22" s="10">
        <f t="shared" si="0"/>
        <v>948.87454161432345</v>
      </c>
      <c r="D22" s="10">
        <f t="shared" si="1"/>
        <v>593.04658850895214</v>
      </c>
      <c r="E22" s="10">
        <f t="shared" si="2"/>
        <v>19196.804000446547</v>
      </c>
      <c r="F22" s="10">
        <f t="shared" si="4"/>
        <v>317590.7387592704</v>
      </c>
      <c r="G22" s="14">
        <f t="shared" si="5"/>
        <v>336787.54275971698</v>
      </c>
      <c r="H22" s="3"/>
    </row>
  </sheetData>
  <mergeCells count="7">
    <mergeCell ref="A7:C7"/>
    <mergeCell ref="A8:C8"/>
    <mergeCell ref="A1:C1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Novrian Ahmad Lbn Gaol</dc:creator>
  <cp:lastModifiedBy>Dani Novrian Ahmad Lbn Gaol</cp:lastModifiedBy>
  <dcterms:created xsi:type="dcterms:W3CDTF">2026-04-04T09:59:44Z</dcterms:created>
  <dcterms:modified xsi:type="dcterms:W3CDTF">2026-04-18T16:08:18Z</dcterms:modified>
</cp:coreProperties>
</file>