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A\Coursera\Finance for Technical Managers\2_Project Valuation and the Capital Budgeting Process\Modul 1\"/>
    </mc:Choice>
  </mc:AlternateContent>
  <xr:revisionPtr revIDLastSave="0" documentId="8_{DB439D0B-8985-4B5D-8AB8-696E176270E0}" xr6:coauthVersionLast="47" xr6:coauthVersionMax="47" xr10:uidLastSave="{00000000-0000-0000-0000-000000000000}"/>
  <bookViews>
    <workbookView xWindow="-110" yWindow="-110" windowWidth="19420" windowHeight="10300" xr2:uid="{CA2B6BD6-5738-4A4F-9663-7A11A730B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8" i="1"/>
  <c r="J11" i="1" s="1"/>
  <c r="J13" i="1" s="1"/>
  <c r="J7" i="1"/>
  <c r="J6" i="1"/>
  <c r="J14" i="1" s="1"/>
  <c r="F9" i="1"/>
  <c r="F8" i="1"/>
  <c r="F11" i="1" s="1"/>
  <c r="F13" i="1" s="1"/>
  <c r="F15" i="1" s="1"/>
  <c r="F6" i="1"/>
  <c r="J15" i="1" l="1"/>
</calcChain>
</file>

<file path=xl/sharedStrings.xml><?xml version="1.0" encoding="utf-8"?>
<sst xmlns="http://schemas.openxmlformats.org/spreadsheetml/2006/main" count="25" uniqueCount="15">
  <si>
    <t>Loan Amount</t>
  </si>
  <si>
    <t>Term</t>
  </si>
  <si>
    <t>APR</t>
  </si>
  <si>
    <t>PV</t>
  </si>
  <si>
    <t>FV</t>
  </si>
  <si>
    <t>Rate</t>
  </si>
  <si>
    <t>Nper</t>
  </si>
  <si>
    <t>Pmt</t>
  </si>
  <si>
    <t>Total Cost</t>
  </si>
  <si>
    <t>Principal Paid</t>
  </si>
  <si>
    <t>Interest Paid</t>
  </si>
  <si>
    <t>years</t>
  </si>
  <si>
    <t>per year</t>
  </si>
  <si>
    <t>/month</t>
  </si>
  <si>
    <t>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</si>
</sst>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6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1" xfId="0" applyNumberFormat="1" applyBorder="1"/>
    <xf numFmtId="0" fontId="0" fillId="0" borderId="0" xfId="0" applyFill="1" applyBorder="1"/>
    <xf numFmtId="166" fontId="0" fillId="0" borderId="0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0" fillId="0" borderId="0" xfId="0" applyNumberFormat="1" applyBorder="1"/>
    <xf numFmtId="166" fontId="0" fillId="0" borderId="0" xfId="0" applyNumberFormat="1" applyBorder="1"/>
    <xf numFmtId="0" fontId="0" fillId="0" borderId="9" xfId="0" applyBorder="1"/>
    <xf numFmtId="166" fontId="0" fillId="0" borderId="10" xfId="0" applyNumberFormat="1" applyBorder="1"/>
    <xf numFmtId="0" fontId="0" fillId="0" borderId="11" xfId="0" applyBorder="1"/>
    <xf numFmtId="9" fontId="0" fillId="0" borderId="7" xfId="0" applyNumberFormat="1" applyBorder="1"/>
    <xf numFmtId="164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196850</xdr:colOff>
      <xdr:row>0</xdr:row>
      <xdr:rowOff>38100</xdr:rowOff>
    </xdr:from>
    <xdr:to>
      <xdr:col>3</xdr:col>
      <xdr:colOff>260350</xdr:colOff>
      <xdr:row>8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A2F2E8-D6B2-E036-20C4-D0522C3BA5E6}"/>
            </a:ext>
          </a:extLst>
        </xdr:cNvPr>
        <xdr:cNvSpPr/>
      </xdr:nvSpPr>
      <xdr:spPr>
        <a:xfrm>
          <a:off x="196850" y="38100"/>
          <a:ext cx="2730500" cy="146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/>
            <a:t>You’re thinking of buying a nice condo that costs $500,000. You have two options: You need to pay 20% as a down-payment = $100,000.</a:t>
          </a:r>
        </a:p>
        <a:p>
          <a:pPr algn="l"/>
          <a:r>
            <a:rPr lang="en-ID"/>
            <a:t>Option 1: Finance it for 30 years at 5% per year, compounded monthly </a:t>
          </a:r>
        </a:p>
        <a:p>
          <a:pPr algn="l"/>
          <a:r>
            <a:rPr lang="en-ID"/>
            <a:t>Option 2: Finance it for 15 years at 4% per year, compounded monthly</a:t>
          </a:r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5081-6909-41F3-B7A0-C1CED1E2F9BD}">
  <dimension ref="E2:K15"/>
  <sheetViews>
    <sheetView tabSelected="1" topLeftCell="A4" workbookViewId="0">
      <selection activeCell="I17" sqref="I17"/>
    </sheetView>
  </sheetViews>
  <sheetFormatPr defaultRowHeight="14.5" x14ac:dyDescent="0.35"/>
  <cols>
    <col min="1" max="1" width="16.81640625" customWidth="1"/>
    <col min="2" max="2" width="12.6328125" bestFit="1" customWidth="1"/>
    <col min="5" max="5" width="12" bestFit="1" customWidth="1"/>
    <col min="6" max="6" width="10.08984375" bestFit="1" customWidth="1"/>
    <col min="9" max="9" width="11.90625" bestFit="1" customWidth="1"/>
    <col min="10" max="10" width="12.54296875" bestFit="1" customWidth="1"/>
  </cols>
  <sheetData>
    <row r="2" spans="5:11" x14ac:dyDescent="0.35">
      <c r="E2" t="s">
        <v>0</v>
      </c>
      <c r="F2" s="1">
        <v>400000</v>
      </c>
    </row>
    <row r="4" spans="5:11" x14ac:dyDescent="0.35">
      <c r="E4" s="9" t="s">
        <v>1</v>
      </c>
      <c r="F4" s="10">
        <v>30</v>
      </c>
      <c r="G4" s="11" t="s">
        <v>11</v>
      </c>
      <c r="I4" s="9">
        <v>15</v>
      </c>
      <c r="J4" s="10" t="s">
        <v>11</v>
      </c>
      <c r="K4" s="11"/>
    </row>
    <row r="5" spans="5:11" ht="15" thickBot="1" x14ac:dyDescent="0.4">
      <c r="E5" s="12" t="s">
        <v>2</v>
      </c>
      <c r="F5" s="6">
        <v>0.05</v>
      </c>
      <c r="G5" s="5" t="s">
        <v>12</v>
      </c>
      <c r="I5" s="19">
        <v>0.04</v>
      </c>
      <c r="J5" s="3" t="s">
        <v>14</v>
      </c>
      <c r="K5" s="5"/>
    </row>
    <row r="6" spans="5:11" x14ac:dyDescent="0.35">
      <c r="E6" s="13" t="s">
        <v>3</v>
      </c>
      <c r="F6" s="8">
        <f>F2</f>
        <v>400000</v>
      </c>
      <c r="G6" s="4"/>
      <c r="I6" s="13" t="s">
        <v>3</v>
      </c>
      <c r="J6" s="15">
        <f>F2</f>
        <v>400000</v>
      </c>
      <c r="K6" s="4"/>
    </row>
    <row r="7" spans="5:11" x14ac:dyDescent="0.35">
      <c r="E7" s="13" t="s">
        <v>4</v>
      </c>
      <c r="F7" s="8">
        <v>0</v>
      </c>
      <c r="G7" s="4"/>
      <c r="I7" s="13" t="s">
        <v>4</v>
      </c>
      <c r="J7" s="15">
        <f>0</f>
        <v>0</v>
      </c>
      <c r="K7" s="4"/>
    </row>
    <row r="8" spans="5:11" x14ac:dyDescent="0.35">
      <c r="E8" s="13" t="s">
        <v>5</v>
      </c>
      <c r="F8" s="14">
        <f>5%/12</f>
        <v>4.1666666666666666E-3</v>
      </c>
      <c r="G8" s="4"/>
      <c r="I8" s="13" t="s">
        <v>5</v>
      </c>
      <c r="J8" s="14">
        <f>4%/12</f>
        <v>3.3333333333333335E-3</v>
      </c>
      <c r="K8" s="4"/>
    </row>
    <row r="9" spans="5:11" x14ac:dyDescent="0.35">
      <c r="E9" s="13" t="s">
        <v>6</v>
      </c>
      <c r="F9" s="7">
        <f>30*12</f>
        <v>360</v>
      </c>
      <c r="G9" s="4"/>
      <c r="I9" s="13" t="s">
        <v>6</v>
      </c>
      <c r="J9" s="2">
        <f>I4*12</f>
        <v>180</v>
      </c>
      <c r="K9" s="4"/>
    </row>
    <row r="10" spans="5:11" x14ac:dyDescent="0.35">
      <c r="E10" s="13"/>
      <c r="F10" s="2"/>
      <c r="G10" s="4"/>
      <c r="I10" s="13"/>
      <c r="J10" s="2"/>
      <c r="K10" s="4"/>
    </row>
    <row r="11" spans="5:11" x14ac:dyDescent="0.35">
      <c r="E11" s="13" t="s">
        <v>7</v>
      </c>
      <c r="F11" s="15">
        <f>PMT(F8,F9,F6,F7)</f>
        <v>-2147.2864920485563</v>
      </c>
      <c r="G11" s="4" t="s">
        <v>13</v>
      </c>
      <c r="I11" s="13" t="s">
        <v>7</v>
      </c>
      <c r="J11" s="15">
        <f>PMT(J8,J9,J6,J7)</f>
        <v>-2958.7517024370809</v>
      </c>
      <c r="K11" s="4" t="s">
        <v>13</v>
      </c>
    </row>
    <row r="12" spans="5:11" x14ac:dyDescent="0.35">
      <c r="E12" s="13"/>
      <c r="F12" s="15"/>
      <c r="G12" s="4"/>
      <c r="I12" s="13"/>
      <c r="J12" s="2"/>
      <c r="K12" s="4"/>
    </row>
    <row r="13" spans="5:11" x14ac:dyDescent="0.35">
      <c r="E13" s="13" t="s">
        <v>8</v>
      </c>
      <c r="F13" s="15">
        <f>F11*F9</f>
        <v>-773023.13713748031</v>
      </c>
      <c r="G13" s="4"/>
      <c r="I13" s="13" t="s">
        <v>8</v>
      </c>
      <c r="J13" s="15">
        <f>J11*J9</f>
        <v>-532575.30643867457</v>
      </c>
      <c r="K13" s="4"/>
    </row>
    <row r="14" spans="5:11" x14ac:dyDescent="0.35">
      <c r="E14" s="13" t="s">
        <v>9</v>
      </c>
      <c r="F14" s="15">
        <v>400000</v>
      </c>
      <c r="G14" s="4"/>
      <c r="I14" s="13" t="s">
        <v>9</v>
      </c>
      <c r="J14" s="15">
        <f>J6</f>
        <v>400000</v>
      </c>
      <c r="K14" s="4"/>
    </row>
    <row r="15" spans="5:11" x14ac:dyDescent="0.35">
      <c r="E15" s="16" t="s">
        <v>10</v>
      </c>
      <c r="F15" s="17">
        <f>F13+F14</f>
        <v>-373023.13713748031</v>
      </c>
      <c r="G15" s="18"/>
      <c r="I15" s="16" t="s">
        <v>10</v>
      </c>
      <c r="J15" s="20">
        <f>J14+J13</f>
        <v>-132575.30643867457</v>
      </c>
      <c r="K15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Novrian Ahmad Lbn Gaol</dc:creator>
  <cp:lastModifiedBy>Dani Novrian Ahmad Lbn Gaol</cp:lastModifiedBy>
  <dcterms:created xsi:type="dcterms:W3CDTF">2026-04-18T23:00:28Z</dcterms:created>
  <dcterms:modified xsi:type="dcterms:W3CDTF">2026-04-19T02:26:42Z</dcterms:modified>
</cp:coreProperties>
</file>