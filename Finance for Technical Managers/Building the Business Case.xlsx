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NA\Coursera\Finance for Technical Managers\2_Project Valuation and the Capital Budgeting Process\Modul 5\"/>
    </mc:Choice>
  </mc:AlternateContent>
  <xr:revisionPtr revIDLastSave="0" documentId="13_ncr:1_{7A6728CC-1089-4B12-A113-6C758D6ED35F}" xr6:coauthVersionLast="47" xr6:coauthVersionMax="47" xr10:uidLastSave="{00000000-0000-0000-0000-000000000000}"/>
  <bookViews>
    <workbookView xWindow="-110" yWindow="-110" windowWidth="19420" windowHeight="10300" firstSheet="1" activeTab="2" xr2:uid="{4233615E-E55D-49E8-8F7C-B938C0BB1C33}"/>
  </bookViews>
  <sheets>
    <sheet name="Net Working Capital &amp; Cashflow" sheetId="1" r:id="rId1"/>
    <sheet name="Simple Project Business Case" sheetId="2" r:id="rId2"/>
    <sheet name="Complex Project Business Ca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0" i="3" l="1"/>
  <c r="K49" i="3"/>
  <c r="K48" i="3"/>
  <c r="K47" i="3"/>
  <c r="K46" i="3"/>
  <c r="M44" i="3"/>
  <c r="N44" i="3" s="1"/>
  <c r="O44" i="3" s="1"/>
  <c r="P44" i="3" s="1"/>
  <c r="Q44" i="3" s="1"/>
  <c r="R44" i="3" s="1"/>
  <c r="S44" i="3" s="1"/>
  <c r="L44" i="3"/>
  <c r="K44" i="3"/>
  <c r="S38" i="3"/>
  <c r="S39" i="3"/>
  <c r="M42" i="3"/>
  <c r="N42" i="3"/>
  <c r="O42" i="3"/>
  <c r="P42" i="3"/>
  <c r="Q42" i="3"/>
  <c r="R42" i="3"/>
  <c r="S42" i="3"/>
  <c r="L42" i="3"/>
  <c r="K42" i="3"/>
  <c r="S41" i="3"/>
  <c r="K41" i="3"/>
  <c r="L40" i="3"/>
  <c r="M40" i="3"/>
  <c r="N40" i="3"/>
  <c r="O40" i="3"/>
  <c r="P40" i="3"/>
  <c r="Q40" i="3"/>
  <c r="R40" i="3"/>
  <c r="S40" i="3"/>
  <c r="K40" i="3"/>
  <c r="M38" i="3"/>
  <c r="N38" i="3"/>
  <c r="O38" i="3"/>
  <c r="P38" i="3"/>
  <c r="Q38" i="3"/>
  <c r="R38" i="3"/>
  <c r="L38" i="3"/>
  <c r="K38" i="3"/>
  <c r="M37" i="3"/>
  <c r="N37" i="3"/>
  <c r="O37" i="3"/>
  <c r="P37" i="3"/>
  <c r="Q37" i="3"/>
  <c r="R37" i="3"/>
  <c r="S37" i="3"/>
  <c r="L37" i="3"/>
  <c r="K37" i="3"/>
  <c r="V6" i="3"/>
  <c r="M27" i="3" s="1"/>
  <c r="M28" i="3" s="1"/>
  <c r="V7" i="3"/>
  <c r="N27" i="3" s="1"/>
  <c r="N28" i="3" s="1"/>
  <c r="V8" i="3"/>
  <c r="O27" i="3" s="1"/>
  <c r="O28" i="3" s="1"/>
  <c r="V9" i="3"/>
  <c r="P27" i="3" s="1"/>
  <c r="P28" i="3" s="1"/>
  <c r="V10" i="3"/>
  <c r="Q27" i="3" s="1"/>
  <c r="Q28" i="3" s="1"/>
  <c r="V11" i="3"/>
  <c r="R27" i="3" s="1"/>
  <c r="R28" i="3" s="1"/>
  <c r="V12" i="3"/>
  <c r="S27" i="3" s="1"/>
  <c r="S28" i="3" s="1"/>
  <c r="V5" i="3"/>
  <c r="L27" i="3" s="1"/>
  <c r="L28" i="3" s="1"/>
  <c r="C30" i="3"/>
  <c r="D30" i="3"/>
  <c r="E30" i="3"/>
  <c r="F30" i="3"/>
  <c r="G30" i="3"/>
  <c r="H30" i="3"/>
  <c r="I30" i="3"/>
  <c r="B30" i="3"/>
  <c r="C29" i="3"/>
  <c r="C31" i="3" s="1"/>
  <c r="M22" i="3" s="1"/>
  <c r="D29" i="3"/>
  <c r="D31" i="3" s="1"/>
  <c r="N22" i="3" s="1"/>
  <c r="E29" i="3"/>
  <c r="E31" i="3" s="1"/>
  <c r="O22" i="3" s="1"/>
  <c r="F29" i="3"/>
  <c r="F31" i="3" s="1"/>
  <c r="P22" i="3" s="1"/>
  <c r="G29" i="3"/>
  <c r="G31" i="3" s="1"/>
  <c r="Q22" i="3" s="1"/>
  <c r="H29" i="3"/>
  <c r="H31" i="3" s="1"/>
  <c r="R22" i="3" s="1"/>
  <c r="I29" i="3"/>
  <c r="I31" i="3" s="1"/>
  <c r="S22" i="3" s="1"/>
  <c r="B29" i="3"/>
  <c r="B31" i="3" s="1"/>
  <c r="L22" i="3" s="1"/>
  <c r="F22" i="3"/>
  <c r="F24" i="3" s="1"/>
  <c r="P21" i="3" s="1"/>
  <c r="P23" i="3" s="1"/>
  <c r="P30" i="3" s="1"/>
  <c r="G22" i="3"/>
  <c r="G24" i="3" s="1"/>
  <c r="Q21" i="3" s="1"/>
  <c r="Q23" i="3" s="1"/>
  <c r="Q30" i="3" s="1"/>
  <c r="H22" i="3"/>
  <c r="H24" i="3" s="1"/>
  <c r="R21" i="3" s="1"/>
  <c r="R23" i="3" s="1"/>
  <c r="R30" i="3" s="1"/>
  <c r="I22" i="3"/>
  <c r="I24" i="3" s="1"/>
  <c r="S21" i="3" s="1"/>
  <c r="S23" i="3" s="1"/>
  <c r="S30" i="3" s="1"/>
  <c r="E22" i="3"/>
  <c r="E24" i="3" s="1"/>
  <c r="O21" i="3" s="1"/>
  <c r="O23" i="3" s="1"/>
  <c r="O30" i="3" s="1"/>
  <c r="C22" i="3"/>
  <c r="C24" i="3" s="1"/>
  <c r="M21" i="3" s="1"/>
  <c r="D22" i="3"/>
  <c r="D24" i="3" s="1"/>
  <c r="N21" i="3" s="1"/>
  <c r="N23" i="3" s="1"/>
  <c r="N30" i="3" s="1"/>
  <c r="B22" i="3"/>
  <c r="B24" i="3" s="1"/>
  <c r="L21" i="3" s="1"/>
  <c r="L23" i="3" s="1"/>
  <c r="L30" i="3" s="1"/>
  <c r="C47" i="2"/>
  <c r="F45" i="2"/>
  <c r="E45" i="2"/>
  <c r="D45" i="2"/>
  <c r="C45" i="2"/>
  <c r="C43" i="2"/>
  <c r="C41" i="2"/>
  <c r="C40" i="2"/>
  <c r="C39" i="2"/>
  <c r="F37" i="2"/>
  <c r="E37" i="2"/>
  <c r="D37" i="2"/>
  <c r="C37" i="2"/>
  <c r="D35" i="2"/>
  <c r="E35" i="2"/>
  <c r="F35" i="2"/>
  <c r="C35" i="2"/>
  <c r="E34" i="2"/>
  <c r="E36" i="2" s="1"/>
  <c r="F34" i="2"/>
  <c r="D34" i="2"/>
  <c r="C36" i="2"/>
  <c r="J28" i="2"/>
  <c r="K28" i="2"/>
  <c r="L28" i="2"/>
  <c r="I28" i="2"/>
  <c r="K27" i="2"/>
  <c r="L27" i="2"/>
  <c r="J27" i="2"/>
  <c r="J26" i="2"/>
  <c r="K26" i="2"/>
  <c r="I26" i="2"/>
  <c r="I27" i="2" s="1"/>
  <c r="J18" i="2"/>
  <c r="K18" i="2"/>
  <c r="I18" i="2"/>
  <c r="D36" i="2"/>
  <c r="D21" i="2"/>
  <c r="D24" i="2" s="1"/>
  <c r="E21" i="2"/>
  <c r="E24" i="2" s="1"/>
  <c r="C21" i="2"/>
  <c r="C24" i="2" s="1"/>
  <c r="D8" i="1"/>
  <c r="E8" i="1"/>
  <c r="F8" i="1"/>
  <c r="C8" i="1"/>
  <c r="F7" i="1"/>
  <c r="E7" i="1"/>
  <c r="D7" i="1"/>
  <c r="C7" i="1"/>
  <c r="P31" i="3" l="1"/>
  <c r="P32" i="3"/>
  <c r="P33" i="3" s="1"/>
  <c r="Q32" i="3"/>
  <c r="Q33" i="3" s="1"/>
  <c r="Q31" i="3"/>
  <c r="R31" i="3"/>
  <c r="R32" i="3" s="1"/>
  <c r="R33" i="3" s="1"/>
  <c r="S31" i="3"/>
  <c r="S32" i="3"/>
  <c r="S33" i="3" s="1"/>
  <c r="O31" i="3"/>
  <c r="O32" i="3"/>
  <c r="O33" i="3" s="1"/>
  <c r="M23" i="3"/>
  <c r="M30" i="3" s="1"/>
  <c r="N31" i="3"/>
  <c r="N32" i="3" s="1"/>
  <c r="N33" i="3" s="1"/>
  <c r="L31" i="3"/>
  <c r="L32" i="3" s="1"/>
  <c r="L33" i="3" s="1"/>
  <c r="W5" i="3"/>
  <c r="W6" i="3" s="1"/>
  <c r="W7" i="3" s="1"/>
  <c r="W8" i="3" s="1"/>
  <c r="W9" i="3" s="1"/>
  <c r="W10" i="3" s="1"/>
  <c r="W11" i="3" s="1"/>
  <c r="W12" i="3" s="1"/>
  <c r="D25" i="2"/>
  <c r="D26" i="2" s="1"/>
  <c r="E25" i="2"/>
  <c r="E26" i="2" s="1"/>
  <c r="C25" i="2"/>
  <c r="C26" i="2" s="1"/>
  <c r="I17" i="2"/>
  <c r="K17" i="2"/>
  <c r="J17" i="2"/>
  <c r="M31" i="3" l="1"/>
  <c r="M32" i="3" s="1"/>
  <c r="M33" i="3" s="1"/>
  <c r="K19" i="2"/>
  <c r="K20" i="2" s="1"/>
  <c r="I19" i="2"/>
  <c r="I20" i="2" s="1"/>
  <c r="J19" i="2"/>
  <c r="J20" i="2" s="1"/>
</calcChain>
</file>

<file path=xl/sharedStrings.xml><?xml version="1.0" encoding="utf-8"?>
<sst xmlns="http://schemas.openxmlformats.org/spreadsheetml/2006/main" count="107" uniqueCount="71">
  <si>
    <t>Year</t>
  </si>
  <si>
    <t>NWC</t>
  </si>
  <si>
    <t>Cash Flow from Del. NWC</t>
  </si>
  <si>
    <t>Del. NWC (Year t-Year(t-1)</t>
  </si>
  <si>
    <t>Revenues (50000x4)</t>
  </si>
  <si>
    <t>Variable Costs(50000x$2.5)</t>
  </si>
  <si>
    <t>Production Fixed Cost (O/H)</t>
  </si>
  <si>
    <t>Gross Profit</t>
  </si>
  <si>
    <t>Depreciation ($90000/3)</t>
  </si>
  <si>
    <t>Operating Income (EBIT)</t>
  </si>
  <si>
    <t>Taxes (21%)</t>
  </si>
  <si>
    <t>Net Income</t>
  </si>
  <si>
    <t>Cost of Goods Sold:</t>
  </si>
  <si>
    <t>Operating Expenses:</t>
  </si>
  <si>
    <t>Discount Rate</t>
  </si>
  <si>
    <t>Cash Flow from Operations</t>
  </si>
  <si>
    <t>Cash Flow From Capex</t>
  </si>
  <si>
    <t>Total Project Cashflow</t>
  </si>
  <si>
    <t>EBIT</t>
  </si>
  <si>
    <t>Depreciation</t>
  </si>
  <si>
    <t>Taxes</t>
  </si>
  <si>
    <t>Del. NWC</t>
  </si>
  <si>
    <t>Unit Sales/Year</t>
  </si>
  <si>
    <t>Price/unit</t>
  </si>
  <si>
    <t>Variabel Cost/unit</t>
  </si>
  <si>
    <t>Fixed Costs (Prod'n O/H)</t>
  </si>
  <si>
    <t>Inventory Requirement</t>
  </si>
  <si>
    <t>New Equipment Cost</t>
  </si>
  <si>
    <t>Depreciation Schedule</t>
  </si>
  <si>
    <t>Corporate Tax Rate</t>
  </si>
  <si>
    <t>Company's Discount Rate</t>
  </si>
  <si>
    <t>3 Year, SL, No SV</t>
  </si>
  <si>
    <t>PV (Yr. 1-3)</t>
  </si>
  <si>
    <t>Int. Investment</t>
  </si>
  <si>
    <t>NPV</t>
  </si>
  <si>
    <t>IRR</t>
  </si>
  <si>
    <t>Cumulative Cash Flow</t>
  </si>
  <si>
    <t>PBP (Years)</t>
  </si>
  <si>
    <t>COGS:</t>
  </si>
  <si>
    <t>Variable Cost</t>
  </si>
  <si>
    <t>Engineering Cost</t>
  </si>
  <si>
    <t>Marketing Cost</t>
  </si>
  <si>
    <t>Company Discount Rate</t>
  </si>
  <si>
    <t>Varies( see estimated forecast)</t>
  </si>
  <si>
    <t>Yr. 1-3</t>
  </si>
  <si>
    <t>Yr. 4-8</t>
  </si>
  <si>
    <t>Variable Cost/unit</t>
  </si>
  <si>
    <t>Fixed Cost (Prod'n O/H)/Year</t>
  </si>
  <si>
    <t>At the start</t>
  </si>
  <si>
    <t>of sales thereafter</t>
  </si>
  <si>
    <t>Varies</t>
  </si>
  <si>
    <t>7 Years MACRS, 20% SV</t>
  </si>
  <si>
    <t>Revenues ($)</t>
  </si>
  <si>
    <t>Price ($/unit)</t>
  </si>
  <si>
    <t>Sales (Volume)</t>
  </si>
  <si>
    <t>Fixed Cost ($)</t>
  </si>
  <si>
    <t>Revenues:</t>
  </si>
  <si>
    <t>COGS ($)</t>
  </si>
  <si>
    <t>MARCS Value</t>
  </si>
  <si>
    <t>Depreciation Expenses</t>
  </si>
  <si>
    <t>Ending Book Value</t>
  </si>
  <si>
    <t>Engineering</t>
  </si>
  <si>
    <t>Marketing</t>
  </si>
  <si>
    <t>Operating Expenses</t>
  </si>
  <si>
    <t>Taxes (@21%)</t>
  </si>
  <si>
    <t>Net Income (PAT)</t>
  </si>
  <si>
    <t>NWC (15% of Revenues)</t>
  </si>
  <si>
    <t>Cash Flow from Capex</t>
  </si>
  <si>
    <t>Total Cash Flow</t>
  </si>
  <si>
    <t>NWC Recovery</t>
  </si>
  <si>
    <t>PV (Yr.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</si>
</sst>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_ ;_-[$$-409]* \-#,##0\ ;_-[$$-409]* &quot;-&quot;??_ ;_-@_ "/>
    <numFmt numFmtId="173" formatCode="0.0000"/>
  </numFmts>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2"/>
        <bgColor indexed="64"/>
      </patternFill>
    </fill>
    <fill>
      <patternFill patternType="solid">
        <fgColor theme="4"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164" fontId="0" fillId="0" borderId="0" xfId="0" applyNumberFormat="1"/>
    <xf numFmtId="165" fontId="0" fillId="0" borderId="0" xfId="0" applyNumberFormat="1"/>
    <xf numFmtId="0" fontId="0" fillId="2" borderId="0" xfId="0" applyFill="1"/>
    <xf numFmtId="0" fontId="0" fillId="3" borderId="0" xfId="0" applyFill="1"/>
    <xf numFmtId="0" fontId="0" fillId="4" borderId="0" xfId="0" applyFill="1"/>
    <xf numFmtId="0" fontId="0" fillId="0" borderId="1" xfId="0" applyBorder="1"/>
    <xf numFmtId="0" fontId="0" fillId="5" borderId="1" xfId="0" applyFill="1" applyBorder="1"/>
    <xf numFmtId="0" fontId="1" fillId="0" borderId="1" xfId="0" applyFont="1" applyBorder="1"/>
    <xf numFmtId="165" fontId="0" fillId="0" borderId="1" xfId="0" applyNumberFormat="1" applyBorder="1"/>
    <xf numFmtId="9" fontId="0" fillId="0" borderId="0" xfId="0" applyNumberFormat="1"/>
    <xf numFmtId="0" fontId="0" fillId="6" borderId="1" xfId="0" applyFill="1" applyBorder="1"/>
    <xf numFmtId="0" fontId="0" fillId="7" borderId="1" xfId="0" applyFill="1" applyBorder="1"/>
    <xf numFmtId="165" fontId="0" fillId="7" borderId="1" xfId="0" applyNumberFormat="1" applyFill="1" applyBorder="1"/>
    <xf numFmtId="2" fontId="0" fillId="0" borderId="0" xfId="0" applyNumberFormat="1"/>
    <xf numFmtId="0" fontId="0" fillId="6" borderId="1" xfId="0" applyFill="1" applyBorder="1" applyAlignment="1">
      <alignment horizontal="center"/>
    </xf>
    <xf numFmtId="0" fontId="0" fillId="0" borderId="0" xfId="0" applyAlignment="1">
      <alignment horizontal="center"/>
    </xf>
    <xf numFmtId="0" fontId="0" fillId="5" borderId="0" xfId="0" applyFill="1" applyAlignment="1">
      <alignment horizontal="center"/>
    </xf>
    <xf numFmtId="0" fontId="0" fillId="5" borderId="1" xfId="0" applyFill="1" applyBorder="1" applyAlignment="1">
      <alignment horizontal="center"/>
    </xf>
    <xf numFmtId="0" fontId="0" fillId="0" borderId="1" xfId="0" applyBorder="1" applyAlignment="1">
      <alignment horizontal="center"/>
    </xf>
    <xf numFmtId="0" fontId="0" fillId="6" borderId="0" xfId="0" applyFill="1" applyAlignment="1">
      <alignment horizontal="left"/>
    </xf>
    <xf numFmtId="0" fontId="0" fillId="6" borderId="0" xfId="0" applyFill="1"/>
    <xf numFmtId="0" fontId="0" fillId="6" borderId="0" xfId="0" applyFill="1" applyAlignment="1">
      <alignment horizontal="left"/>
    </xf>
    <xf numFmtId="0" fontId="0" fillId="7" borderId="0" xfId="0" applyFill="1" applyAlignment="1">
      <alignment horizontal="left"/>
    </xf>
    <xf numFmtId="165" fontId="0" fillId="7" borderId="0" xfId="0" applyNumberFormat="1" applyFill="1"/>
    <xf numFmtId="0" fontId="0" fillId="7" borderId="0" xfId="0" applyFill="1"/>
    <xf numFmtId="165" fontId="0" fillId="7" borderId="0" xfId="0" applyNumberFormat="1" applyFill="1" applyAlignment="1">
      <alignment horizontal="center"/>
    </xf>
    <xf numFmtId="9" fontId="0" fillId="7" borderId="0" xfId="0" applyNumberFormat="1" applyFill="1"/>
    <xf numFmtId="0" fontId="0" fillId="0" borderId="1" xfId="0" applyBorder="1" applyAlignment="1">
      <alignment horizontal="center"/>
    </xf>
    <xf numFmtId="173" fontId="0" fillId="0" borderId="1" xfId="0" applyNumberFormat="1" applyBorder="1"/>
    <xf numFmtId="0" fontId="1" fillId="0" borderId="0" xfId="0" applyFont="1"/>
    <xf numFmtId="0" fontId="0" fillId="0" borderId="1" xfId="0" applyFont="1" applyBorder="1"/>
    <xf numFmtId="164" fontId="0" fillId="0" borderId="1" xfId="0" applyNumberFormat="1" applyBorder="1"/>
    <xf numFmtId="0" fontId="0" fillId="8"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146050</xdr:colOff>
      <xdr:row>13</xdr:row>
      <xdr:rowOff>38100</xdr:rowOff>
    </xdr:from>
    <xdr:to>
      <xdr:col>1</xdr:col>
      <xdr:colOff>1212850</xdr:colOff>
      <xdr:row>14</xdr:row>
      <xdr:rowOff>76200</xdr:rowOff>
    </xdr:to>
    <xdr:sp macro="" textlink="">
      <xdr:nvSpPr>
        <xdr:cNvPr id="2" name="Rectangle 1">
          <a:extLst>
            <a:ext uri="{FF2B5EF4-FFF2-40B4-BE49-F238E27FC236}">
              <a16:creationId xmlns:a16="http://schemas.microsoft.com/office/drawing/2014/main" id="{5C30BDFA-203C-AE92-F601-20ABFF9D18FE}"/>
            </a:ext>
          </a:extLst>
        </xdr:cNvPr>
        <xdr:cNvSpPr/>
      </xdr:nvSpPr>
      <xdr:spPr>
        <a:xfrm>
          <a:off x="146050" y="2432050"/>
          <a:ext cx="1676400" cy="222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a:t>Project Income Statement</a:t>
          </a:r>
        </a:p>
      </xdr:txBody>
    </xdr:sp>
    <xdr:clientData/>
  </xdr:twoCellAnchor>
  <xdr:twoCellAnchor>
    <xdr:from>
      <xdr:col>0</xdr:col>
      <xdr:colOff>228600</xdr:colOff>
      <xdr:row>27</xdr:row>
      <xdr:rowOff>57150</xdr:rowOff>
    </xdr:from>
    <xdr:to>
      <xdr:col>1</xdr:col>
      <xdr:colOff>1460500</xdr:colOff>
      <xdr:row>28</xdr:row>
      <xdr:rowOff>146050</xdr:rowOff>
    </xdr:to>
    <xdr:sp macro="" textlink="">
      <xdr:nvSpPr>
        <xdr:cNvPr id="3" name="Rectangle 2">
          <a:extLst>
            <a:ext uri="{FF2B5EF4-FFF2-40B4-BE49-F238E27FC236}">
              <a16:creationId xmlns:a16="http://schemas.microsoft.com/office/drawing/2014/main" id="{23CA754D-0DE8-7891-47E6-81F9593C0442}"/>
            </a:ext>
          </a:extLst>
        </xdr:cNvPr>
        <xdr:cNvSpPr/>
      </xdr:nvSpPr>
      <xdr:spPr>
        <a:xfrm>
          <a:off x="228600" y="2635250"/>
          <a:ext cx="1841500" cy="2730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a:t>Project Cash Flow Statement</a:t>
          </a:r>
        </a:p>
        <a:p>
          <a:pPr algn="l"/>
          <a:endParaRPr lang="en-ID" sz="1100"/>
        </a:p>
      </xdr:txBody>
    </xdr:sp>
    <xdr:clientData/>
  </xdr:twoCellAnchor>
  <xdr:twoCellAnchor editAs="absolute">
    <xdr:from>
      <xdr:col>0</xdr:col>
      <xdr:colOff>101600</xdr:colOff>
      <xdr:row>0</xdr:row>
      <xdr:rowOff>25400</xdr:rowOff>
    </xdr:from>
    <xdr:to>
      <xdr:col>4</xdr:col>
      <xdr:colOff>774700</xdr:colOff>
      <xdr:row>6</xdr:row>
      <xdr:rowOff>107950</xdr:rowOff>
    </xdr:to>
    <xdr:sp macro="" textlink="">
      <xdr:nvSpPr>
        <xdr:cNvPr id="4" name="Rectangle 3">
          <a:extLst>
            <a:ext uri="{FF2B5EF4-FFF2-40B4-BE49-F238E27FC236}">
              <a16:creationId xmlns:a16="http://schemas.microsoft.com/office/drawing/2014/main" id="{7A9442A1-9677-BE5B-FD00-1104B0223BEF}"/>
            </a:ext>
          </a:extLst>
        </xdr:cNvPr>
        <xdr:cNvSpPr/>
      </xdr:nvSpPr>
      <xdr:spPr>
        <a:xfrm>
          <a:off x="101600" y="25400"/>
          <a:ext cx="4470400" cy="11874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a:t>You work for a small craft distillery that decides to go into the artisanal hand sanitizer business. It is evaluating an investment in equipment and inventory to expand production to meet the burgeoning demand. Based on the following, prepare a 3-year after-tax cash flow analysis and decide whether the investment is worth it, using NPV, IRR and Payback Period as your decision criteria.</a:t>
          </a:r>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196850</xdr:colOff>
      <xdr:row>0</xdr:row>
      <xdr:rowOff>76200</xdr:rowOff>
    </xdr:from>
    <xdr:to>
      <xdr:col>5</xdr:col>
      <xdr:colOff>450850</xdr:colOff>
      <xdr:row>6</xdr:row>
      <xdr:rowOff>114300</xdr:rowOff>
    </xdr:to>
    <xdr:sp macro="" textlink="">
      <xdr:nvSpPr>
        <xdr:cNvPr id="2" name="Rectangle 1">
          <a:extLst>
            <a:ext uri="{FF2B5EF4-FFF2-40B4-BE49-F238E27FC236}">
              <a16:creationId xmlns:a16="http://schemas.microsoft.com/office/drawing/2014/main" id="{4FBD19D4-475D-FB8A-05D2-6DC15AE513C6}"/>
            </a:ext>
          </a:extLst>
        </xdr:cNvPr>
        <xdr:cNvSpPr/>
      </xdr:nvSpPr>
      <xdr:spPr>
        <a:xfrm>
          <a:off x="196850" y="76200"/>
          <a:ext cx="3911600" cy="1143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a:t>You work for a local company that wants to launch a new line of thin-film solar panels based on a low-cost technology developed by the University of Colorado. Based on the following, prepare an 8-year after-tax cash flow analysis and decide whether the investment is worth it, using NPV, IRR and PBP as your decision criteria.</a:t>
          </a:r>
          <a:endParaRPr lang="en-ID" sz="1100"/>
        </a:p>
      </xdr:txBody>
    </xdr:sp>
    <xdr:clientData/>
  </xdr:twoCellAnchor>
  <xdr:twoCellAnchor>
    <xdr:from>
      <xdr:col>19</xdr:col>
      <xdr:colOff>203200</xdr:colOff>
      <xdr:row>1</xdr:row>
      <xdr:rowOff>44450</xdr:rowOff>
    </xdr:from>
    <xdr:to>
      <xdr:col>22</xdr:col>
      <xdr:colOff>317500</xdr:colOff>
      <xdr:row>2</xdr:row>
      <xdr:rowOff>76200</xdr:rowOff>
    </xdr:to>
    <xdr:sp macro="" textlink="">
      <xdr:nvSpPr>
        <xdr:cNvPr id="3" name="Rectangle 2">
          <a:extLst>
            <a:ext uri="{FF2B5EF4-FFF2-40B4-BE49-F238E27FC236}">
              <a16:creationId xmlns:a16="http://schemas.microsoft.com/office/drawing/2014/main" id="{3A543A34-61DE-C50C-2935-B21F638E9CAD}"/>
            </a:ext>
          </a:extLst>
        </xdr:cNvPr>
        <xdr:cNvSpPr/>
      </xdr:nvSpPr>
      <xdr:spPr>
        <a:xfrm>
          <a:off x="203200" y="5937250"/>
          <a:ext cx="2355850" cy="215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a:t>Calculate the Depreciation</a:t>
          </a:r>
          <a:r>
            <a:rPr lang="en-ID" sz="1100" baseline="0"/>
            <a:t> Expenses</a:t>
          </a:r>
        </a:p>
        <a:p>
          <a:pPr algn="l"/>
          <a:endParaRPr lang="en-ID" sz="1100"/>
        </a:p>
      </xdr:txBody>
    </xdr:sp>
    <xdr:clientData/>
  </xdr:twoCellAnchor>
  <xdr:twoCellAnchor>
    <xdr:from>
      <xdr:col>10</xdr:col>
      <xdr:colOff>361950</xdr:colOff>
      <xdr:row>15</xdr:row>
      <xdr:rowOff>44450</xdr:rowOff>
    </xdr:from>
    <xdr:to>
      <xdr:col>13</xdr:col>
      <xdr:colOff>488950</xdr:colOff>
      <xdr:row>16</xdr:row>
      <xdr:rowOff>101600</xdr:rowOff>
    </xdr:to>
    <xdr:sp macro="" textlink="">
      <xdr:nvSpPr>
        <xdr:cNvPr id="4" name="Rectangle 3">
          <a:extLst>
            <a:ext uri="{FF2B5EF4-FFF2-40B4-BE49-F238E27FC236}">
              <a16:creationId xmlns:a16="http://schemas.microsoft.com/office/drawing/2014/main" id="{12BBA60C-7DE0-AB5B-CB78-08C1AB16EF52}"/>
            </a:ext>
          </a:extLst>
        </xdr:cNvPr>
        <xdr:cNvSpPr/>
      </xdr:nvSpPr>
      <xdr:spPr>
        <a:xfrm>
          <a:off x="7359650" y="2806700"/>
          <a:ext cx="1955800" cy="2413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a:t>Pro Forma Income Statement</a:t>
          </a:r>
        </a:p>
        <a:p>
          <a:pPr algn="l"/>
          <a:endParaRPr lang="en-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DA544-7474-458F-B68B-0DA230011CCE}">
  <dimension ref="B4:F8"/>
  <sheetViews>
    <sheetView workbookViewId="0">
      <selection activeCell="F8" sqref="B4:F8"/>
    </sheetView>
  </sheetViews>
  <sheetFormatPr defaultRowHeight="14.5" x14ac:dyDescent="0.35"/>
  <cols>
    <col min="2" max="2" width="22.81640625" bestFit="1" customWidth="1"/>
    <col min="3" max="6" width="11.54296875" bestFit="1" customWidth="1"/>
  </cols>
  <sheetData>
    <row r="4" spans="2:6" x14ac:dyDescent="0.35">
      <c r="B4" s="4"/>
      <c r="C4" s="17" t="s">
        <v>0</v>
      </c>
      <c r="D4" s="17"/>
      <c r="E4" s="17"/>
      <c r="F4" s="17"/>
    </row>
    <row r="5" spans="2:6" x14ac:dyDescent="0.35">
      <c r="B5" s="4"/>
      <c r="C5" s="3">
        <v>0</v>
      </c>
      <c r="D5" s="3">
        <v>1</v>
      </c>
      <c r="E5" s="3">
        <v>2</v>
      </c>
      <c r="F5" s="3">
        <v>3</v>
      </c>
    </row>
    <row r="6" spans="2:6" x14ac:dyDescent="0.35">
      <c r="B6" s="5" t="s">
        <v>1</v>
      </c>
      <c r="C6" s="2">
        <v>20000</v>
      </c>
      <c r="D6" s="2">
        <v>50000</v>
      </c>
      <c r="E6" s="2">
        <v>90000</v>
      </c>
      <c r="F6" s="2">
        <v>70000</v>
      </c>
    </row>
    <row r="7" spans="2:6" x14ac:dyDescent="0.35">
      <c r="B7" s="5" t="s">
        <v>3</v>
      </c>
      <c r="C7" s="2">
        <f>C6</f>
        <v>20000</v>
      </c>
      <c r="D7" s="2">
        <f>D6-C6</f>
        <v>30000</v>
      </c>
      <c r="E7" s="2">
        <f>E6-D6</f>
        <v>40000</v>
      </c>
      <c r="F7" s="2">
        <f>F6-E6</f>
        <v>-20000</v>
      </c>
    </row>
    <row r="8" spans="2:6" x14ac:dyDescent="0.35">
      <c r="B8" s="5" t="s">
        <v>2</v>
      </c>
      <c r="C8" s="2">
        <f>-C7</f>
        <v>-20000</v>
      </c>
      <c r="D8" s="2">
        <f t="shared" ref="D8:F8" si="0">-D7</f>
        <v>-30000</v>
      </c>
      <c r="E8" s="2">
        <f t="shared" si="0"/>
        <v>-40000</v>
      </c>
      <c r="F8" s="2">
        <f t="shared" si="0"/>
        <v>20000</v>
      </c>
    </row>
  </sheetData>
  <mergeCells count="1">
    <mergeCell ref="C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0DD48-45EC-45A8-917D-449D58286A60}">
  <dimension ref="B8:L47"/>
  <sheetViews>
    <sheetView workbookViewId="0">
      <selection activeCell="G7" sqref="G7"/>
    </sheetView>
  </sheetViews>
  <sheetFormatPr defaultRowHeight="14.5" x14ac:dyDescent="0.35"/>
  <cols>
    <col min="2" max="2" width="24.26953125" bestFit="1" customWidth="1"/>
    <col min="3" max="3" width="11.90625" bestFit="1" customWidth="1"/>
    <col min="4" max="4" width="9.453125" bestFit="1" customWidth="1"/>
    <col min="5" max="5" width="13.1796875" customWidth="1"/>
    <col min="6" max="6" width="10.90625" bestFit="1" customWidth="1"/>
    <col min="8" max="8" width="23.7265625" bestFit="1" customWidth="1"/>
    <col min="9" max="11" width="10.90625" bestFit="1" customWidth="1"/>
    <col min="12" max="12" width="9.08984375" bestFit="1" customWidth="1"/>
  </cols>
  <sheetData>
    <row r="8" spans="2:11" x14ac:dyDescent="0.35">
      <c r="B8" t="s">
        <v>22</v>
      </c>
      <c r="C8" s="2">
        <v>50000</v>
      </c>
      <c r="D8" s="16" t="s">
        <v>27</v>
      </c>
      <c r="E8" s="16"/>
      <c r="F8" s="2">
        <v>90000</v>
      </c>
    </row>
    <row r="9" spans="2:11" x14ac:dyDescent="0.35">
      <c r="B9" t="s">
        <v>23</v>
      </c>
      <c r="C9" s="2">
        <v>4</v>
      </c>
      <c r="D9" s="16" t="s">
        <v>28</v>
      </c>
      <c r="E9" s="16"/>
      <c r="F9" t="s">
        <v>31</v>
      </c>
    </row>
    <row r="10" spans="2:11" x14ac:dyDescent="0.35">
      <c r="B10" t="s">
        <v>24</v>
      </c>
      <c r="C10" s="1">
        <v>2.5</v>
      </c>
      <c r="D10" s="16" t="s">
        <v>29</v>
      </c>
      <c r="E10" s="16"/>
      <c r="F10" s="10">
        <v>0.21</v>
      </c>
    </row>
    <row r="11" spans="2:11" x14ac:dyDescent="0.35">
      <c r="B11" t="s">
        <v>25</v>
      </c>
      <c r="C11" s="2">
        <v>17500</v>
      </c>
      <c r="D11" s="16" t="s">
        <v>30</v>
      </c>
      <c r="E11" s="16"/>
      <c r="F11" s="10">
        <v>0.2</v>
      </c>
    </row>
    <row r="12" spans="2:11" x14ac:dyDescent="0.35">
      <c r="B12" t="s">
        <v>26</v>
      </c>
      <c r="C12" s="2">
        <v>20000</v>
      </c>
    </row>
    <row r="14" spans="2:11" x14ac:dyDescent="0.35">
      <c r="H14" s="17" t="s">
        <v>15</v>
      </c>
      <c r="I14" s="17"/>
      <c r="J14" s="17"/>
      <c r="K14" s="17"/>
    </row>
    <row r="15" spans="2:11" x14ac:dyDescent="0.35">
      <c r="B15" s="6"/>
      <c r="C15" s="18" t="s">
        <v>0</v>
      </c>
      <c r="D15" s="18"/>
      <c r="E15" s="18"/>
      <c r="I15" s="16" t="s">
        <v>0</v>
      </c>
      <c r="J15" s="16"/>
      <c r="K15" s="16"/>
    </row>
    <row r="16" spans="2:11" x14ac:dyDescent="0.35">
      <c r="B16" s="6"/>
      <c r="C16" s="7">
        <v>1</v>
      </c>
      <c r="D16" s="7">
        <v>2</v>
      </c>
      <c r="E16" s="7">
        <v>3</v>
      </c>
      <c r="I16">
        <v>1</v>
      </c>
      <c r="J16">
        <v>2</v>
      </c>
      <c r="K16">
        <v>3</v>
      </c>
    </row>
    <row r="17" spans="2:12" x14ac:dyDescent="0.35">
      <c r="B17" s="6" t="s">
        <v>4</v>
      </c>
      <c r="C17" s="9">
        <v>200000</v>
      </c>
      <c r="D17" s="9">
        <v>200000</v>
      </c>
      <c r="E17" s="9">
        <v>200000</v>
      </c>
      <c r="H17" t="s">
        <v>18</v>
      </c>
      <c r="I17" s="2">
        <f>$C$24</f>
        <v>27500</v>
      </c>
      <c r="J17" s="2">
        <f>$C$24</f>
        <v>27500</v>
      </c>
      <c r="K17" s="2">
        <f>$C$24</f>
        <v>27500</v>
      </c>
    </row>
    <row r="18" spans="2:12" x14ac:dyDescent="0.35">
      <c r="B18" s="8" t="s">
        <v>12</v>
      </c>
      <c r="D18" s="6"/>
      <c r="E18" s="6"/>
      <c r="H18" t="s">
        <v>19</v>
      </c>
      <c r="I18" s="2">
        <f>$C$23</f>
        <v>30000</v>
      </c>
      <c r="J18" s="2">
        <f>$C$23</f>
        <v>30000</v>
      </c>
      <c r="K18" s="2">
        <f>$C$23</f>
        <v>30000</v>
      </c>
    </row>
    <row r="19" spans="2:12" x14ac:dyDescent="0.35">
      <c r="B19" s="6" t="s">
        <v>5</v>
      </c>
      <c r="C19" s="9">
        <v>125000</v>
      </c>
      <c r="D19" s="9">
        <v>125000</v>
      </c>
      <c r="E19" s="9">
        <v>125000</v>
      </c>
      <c r="H19" t="s">
        <v>20</v>
      </c>
      <c r="I19" s="2">
        <f>-$C$25</f>
        <v>-5775</v>
      </c>
      <c r="J19" s="2">
        <f>-$C$25</f>
        <v>-5775</v>
      </c>
      <c r="K19" s="2">
        <f>-$C$25</f>
        <v>-5775</v>
      </c>
    </row>
    <row r="20" spans="2:12" x14ac:dyDescent="0.35">
      <c r="B20" s="6" t="s">
        <v>6</v>
      </c>
      <c r="C20" s="9">
        <v>17500</v>
      </c>
      <c r="D20" s="9">
        <v>17500</v>
      </c>
      <c r="E20" s="9">
        <v>17500</v>
      </c>
      <c r="H20" t="s">
        <v>15</v>
      </c>
      <c r="I20" s="2">
        <f>I17+I18+I19</f>
        <v>51725</v>
      </c>
      <c r="J20" s="2">
        <f t="shared" ref="J20:K20" si="0">J17+J18+J19</f>
        <v>51725</v>
      </c>
      <c r="K20" s="2">
        <f t="shared" si="0"/>
        <v>51725</v>
      </c>
    </row>
    <row r="21" spans="2:12" x14ac:dyDescent="0.35">
      <c r="B21" s="6" t="s">
        <v>7</v>
      </c>
      <c r="C21" s="9">
        <f>C17-C19-C20</f>
        <v>57500</v>
      </c>
      <c r="D21" s="9">
        <f t="shared" ref="D21:E21" si="1">D17-D19-D20</f>
        <v>57500</v>
      </c>
      <c r="E21" s="9">
        <f t="shared" si="1"/>
        <v>57500</v>
      </c>
    </row>
    <row r="22" spans="2:12" x14ac:dyDescent="0.35">
      <c r="B22" s="8" t="s">
        <v>13</v>
      </c>
      <c r="C22" s="6"/>
      <c r="D22" s="6"/>
      <c r="E22" s="6"/>
    </row>
    <row r="23" spans="2:12" x14ac:dyDescent="0.35">
      <c r="B23" s="6" t="s">
        <v>8</v>
      </c>
      <c r="C23" s="9">
        <v>30000</v>
      </c>
      <c r="D23" s="9">
        <v>30000</v>
      </c>
      <c r="E23" s="9">
        <v>30000</v>
      </c>
      <c r="H23" s="17" t="s">
        <v>2</v>
      </c>
      <c r="I23" s="17"/>
      <c r="J23" s="17"/>
      <c r="K23" s="17"/>
      <c r="L23" s="17"/>
    </row>
    <row r="24" spans="2:12" x14ac:dyDescent="0.35">
      <c r="B24" s="6" t="s">
        <v>9</v>
      </c>
      <c r="C24" s="9">
        <f>C21-C23</f>
        <v>27500</v>
      </c>
      <c r="D24" s="9">
        <f t="shared" ref="D24:E24" si="2">D21-D23</f>
        <v>27500</v>
      </c>
      <c r="E24" s="9">
        <f t="shared" si="2"/>
        <v>27500</v>
      </c>
      <c r="I24" s="16" t="s">
        <v>0</v>
      </c>
      <c r="J24" s="16"/>
      <c r="K24" s="16"/>
    </row>
    <row r="25" spans="2:12" x14ac:dyDescent="0.35">
      <c r="B25" s="6" t="s">
        <v>10</v>
      </c>
      <c r="C25" s="9">
        <f>21%*C24</f>
        <v>5775</v>
      </c>
      <c r="D25" s="9">
        <f t="shared" ref="D25:E25" si="3">21%*D24</f>
        <v>5775</v>
      </c>
      <c r="E25" s="9">
        <f t="shared" si="3"/>
        <v>5775</v>
      </c>
      <c r="I25">
        <v>0</v>
      </c>
      <c r="J25">
        <v>1</v>
      </c>
      <c r="K25">
        <v>2</v>
      </c>
      <c r="L25">
        <v>3</v>
      </c>
    </row>
    <row r="26" spans="2:12" x14ac:dyDescent="0.35">
      <c r="B26" s="6" t="s">
        <v>11</v>
      </c>
      <c r="C26" s="9">
        <f>C24-C25</f>
        <v>21725</v>
      </c>
      <c r="D26" s="9">
        <f t="shared" ref="D26:E26" si="4">D24-D25</f>
        <v>21725</v>
      </c>
      <c r="E26" s="9">
        <f t="shared" si="4"/>
        <v>21725</v>
      </c>
      <c r="H26" t="s">
        <v>1</v>
      </c>
      <c r="I26" s="2">
        <f>$C$12</f>
        <v>20000</v>
      </c>
      <c r="J26" s="2">
        <f t="shared" ref="J26:K26" si="5">$C$12</f>
        <v>20000</v>
      </c>
      <c r="K26" s="2">
        <f t="shared" si="5"/>
        <v>20000</v>
      </c>
      <c r="L26" s="2">
        <v>0</v>
      </c>
    </row>
    <row r="27" spans="2:12" x14ac:dyDescent="0.35">
      <c r="H27" t="s">
        <v>21</v>
      </c>
      <c r="I27" s="2">
        <f>I26</f>
        <v>20000</v>
      </c>
      <c r="J27" s="2">
        <f>J26-I26</f>
        <v>0</v>
      </c>
      <c r="K27" s="2">
        <f t="shared" ref="K27:L27" si="6">K26-J26</f>
        <v>0</v>
      </c>
      <c r="L27" s="2">
        <f t="shared" si="6"/>
        <v>-20000</v>
      </c>
    </row>
    <row r="28" spans="2:12" x14ac:dyDescent="0.35">
      <c r="H28" t="s">
        <v>2</v>
      </c>
      <c r="I28" s="2">
        <f>-I27</f>
        <v>-20000</v>
      </c>
      <c r="J28" s="2">
        <f t="shared" ref="J28:L28" si="7">-J27</f>
        <v>0</v>
      </c>
      <c r="K28" s="2">
        <f t="shared" si="7"/>
        <v>0</v>
      </c>
      <c r="L28" s="2">
        <f t="shared" si="7"/>
        <v>20000</v>
      </c>
    </row>
    <row r="30" spans="2:12" x14ac:dyDescent="0.35">
      <c r="B30" t="s">
        <v>14</v>
      </c>
      <c r="C30" s="10">
        <v>0.2</v>
      </c>
    </row>
    <row r="32" spans="2:12" x14ac:dyDescent="0.35">
      <c r="B32" s="6"/>
      <c r="C32" s="15" t="s">
        <v>0</v>
      </c>
      <c r="D32" s="15"/>
      <c r="E32" s="15"/>
      <c r="F32" s="15"/>
    </row>
    <row r="33" spans="2:6" x14ac:dyDescent="0.35">
      <c r="B33" s="6"/>
      <c r="C33" s="11">
        <v>0</v>
      </c>
      <c r="D33" s="11">
        <v>1</v>
      </c>
      <c r="E33" s="11">
        <v>2</v>
      </c>
      <c r="F33" s="11">
        <v>3</v>
      </c>
    </row>
    <row r="34" spans="2:6" x14ac:dyDescent="0.35">
      <c r="B34" s="6" t="s">
        <v>15</v>
      </c>
      <c r="C34" s="9"/>
      <c r="D34" s="9">
        <f>I20</f>
        <v>51725</v>
      </c>
      <c r="E34" s="9">
        <f t="shared" ref="E34:F34" si="8">J20</f>
        <v>51725</v>
      </c>
      <c r="F34" s="9">
        <f t="shared" si="8"/>
        <v>51725</v>
      </c>
    </row>
    <row r="35" spans="2:6" x14ac:dyDescent="0.35">
      <c r="B35" s="6" t="s">
        <v>2</v>
      </c>
      <c r="C35" s="9">
        <f>I28</f>
        <v>-20000</v>
      </c>
      <c r="D35" s="9">
        <f t="shared" ref="D35:F35" si="9">J28</f>
        <v>0</v>
      </c>
      <c r="E35" s="9">
        <f t="shared" si="9"/>
        <v>0</v>
      </c>
      <c r="F35" s="9">
        <f t="shared" si="9"/>
        <v>20000</v>
      </c>
    </row>
    <row r="36" spans="2:6" x14ac:dyDescent="0.35">
      <c r="B36" s="6" t="s">
        <v>16</v>
      </c>
      <c r="C36" s="9">
        <f>-F8</f>
        <v>-90000</v>
      </c>
      <c r="D36" s="9">
        <f t="shared" ref="D36:E36" si="10">-D35</f>
        <v>0</v>
      </c>
      <c r="E36" s="9">
        <f t="shared" si="10"/>
        <v>0</v>
      </c>
      <c r="F36" s="9">
        <v>0</v>
      </c>
    </row>
    <row r="37" spans="2:6" x14ac:dyDescent="0.35">
      <c r="B37" s="12" t="s">
        <v>17</v>
      </c>
      <c r="C37" s="13">
        <f>C35+C36</f>
        <v>-110000</v>
      </c>
      <c r="D37" s="13">
        <f>D34+D35+D36</f>
        <v>51725</v>
      </c>
      <c r="E37" s="13">
        <f>E34+E35+E36</f>
        <v>51725</v>
      </c>
      <c r="F37" s="13">
        <f>F34+F35+F36</f>
        <v>71725</v>
      </c>
    </row>
    <row r="39" spans="2:6" x14ac:dyDescent="0.35">
      <c r="B39" t="s">
        <v>32</v>
      </c>
      <c r="C39" s="2">
        <f>NPV(C30,D37:F37)</f>
        <v>120531.82870370371</v>
      </c>
    </row>
    <row r="40" spans="2:6" x14ac:dyDescent="0.35">
      <c r="B40" t="s">
        <v>33</v>
      </c>
      <c r="C40" s="2">
        <f>-C37</f>
        <v>110000</v>
      </c>
    </row>
    <row r="41" spans="2:6" x14ac:dyDescent="0.35">
      <c r="B41" t="s">
        <v>34</v>
      </c>
      <c r="C41" s="2">
        <f>C39-C40</f>
        <v>10531.828703703708</v>
      </c>
    </row>
    <row r="43" spans="2:6" x14ac:dyDescent="0.35">
      <c r="B43" t="s">
        <v>35</v>
      </c>
      <c r="C43" s="10">
        <f>IRR(C37:F37)</f>
        <v>0.2569940653879661</v>
      </c>
    </row>
    <row r="45" spans="2:6" x14ac:dyDescent="0.35">
      <c r="B45" t="s">
        <v>36</v>
      </c>
      <c r="C45" s="2">
        <f>C37</f>
        <v>-110000</v>
      </c>
      <c r="D45" s="2">
        <f>C45+D37</f>
        <v>-58275</v>
      </c>
      <c r="E45" s="2">
        <f>D45+E37</f>
        <v>-6550</v>
      </c>
      <c r="F45" s="2">
        <f>E45+F37</f>
        <v>65175</v>
      </c>
    </row>
    <row r="47" spans="2:6" x14ac:dyDescent="0.35">
      <c r="B47" t="s">
        <v>37</v>
      </c>
      <c r="C47" s="14">
        <f>2+(-E45/F37)</f>
        <v>2.0913210177762287</v>
      </c>
    </row>
  </sheetData>
  <mergeCells count="10">
    <mergeCell ref="H23:L23"/>
    <mergeCell ref="C15:E15"/>
    <mergeCell ref="I15:K15"/>
    <mergeCell ref="H14:K14"/>
    <mergeCell ref="I24:K24"/>
    <mergeCell ref="C32:F32"/>
    <mergeCell ref="D8:E8"/>
    <mergeCell ref="D9:E9"/>
    <mergeCell ref="D10:E10"/>
    <mergeCell ref="D11:E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2050-A16D-4F8F-AFE6-1A1D4ACCEEA2}">
  <dimension ref="A4:W50"/>
  <sheetViews>
    <sheetView tabSelected="1" topLeftCell="H33" zoomScale="98" zoomScaleNormal="100" workbookViewId="0">
      <selection activeCell="L50" sqref="L50"/>
    </sheetView>
  </sheetViews>
  <sheetFormatPr defaultRowHeight="14.5" x14ac:dyDescent="0.35"/>
  <cols>
    <col min="1" max="1" width="13.1796875" bestFit="1" customWidth="1"/>
    <col min="2" max="4" width="9.453125" bestFit="1" customWidth="1"/>
    <col min="5" max="5" width="10.81640625" customWidth="1"/>
    <col min="6" max="6" width="10.7265625" customWidth="1"/>
    <col min="7" max="9" width="9.453125" bestFit="1" customWidth="1"/>
    <col min="10" max="10" width="22.81640625" bestFit="1" customWidth="1"/>
    <col min="11" max="11" width="23.7265625" bestFit="1" customWidth="1"/>
    <col min="12" max="13" width="11.90625" bestFit="1" customWidth="1"/>
    <col min="14" max="14" width="12" bestFit="1" customWidth="1"/>
    <col min="15" max="18" width="10.90625" bestFit="1" customWidth="1"/>
    <col min="19" max="19" width="11.1796875" bestFit="1" customWidth="1"/>
    <col min="21" max="21" width="11.90625" bestFit="1" customWidth="1"/>
    <col min="22" max="22" width="19.81640625" bestFit="1" customWidth="1"/>
    <col min="23" max="23" width="16.26953125" bestFit="1" customWidth="1"/>
  </cols>
  <sheetData>
    <row r="4" spans="2:23" x14ac:dyDescent="0.35">
      <c r="T4" s="28" t="s">
        <v>0</v>
      </c>
      <c r="U4" s="6" t="s">
        <v>58</v>
      </c>
      <c r="V4" s="6" t="s">
        <v>59</v>
      </c>
      <c r="W4" s="6" t="s">
        <v>60</v>
      </c>
    </row>
    <row r="5" spans="2:23" x14ac:dyDescent="0.35">
      <c r="T5" s="28">
        <v>1</v>
      </c>
      <c r="U5" s="29">
        <v>0.1429</v>
      </c>
      <c r="V5" s="9">
        <f>$N$11*U5</f>
        <v>114320</v>
      </c>
      <c r="W5" s="9">
        <f>$N$11-V5</f>
        <v>685680</v>
      </c>
    </row>
    <row r="6" spans="2:23" x14ac:dyDescent="0.35">
      <c r="T6" s="28">
        <v>2</v>
      </c>
      <c r="U6" s="29">
        <v>0.24490000000000001</v>
      </c>
      <c r="V6" s="9">
        <f t="shared" ref="V6:V12" si="0">$N$11*U6</f>
        <v>195920</v>
      </c>
      <c r="W6" s="9">
        <f>W5-V6</f>
        <v>489760</v>
      </c>
    </row>
    <row r="7" spans="2:23" x14ac:dyDescent="0.35">
      <c r="T7" s="28">
        <v>3</v>
      </c>
      <c r="U7" s="29">
        <v>0.1749</v>
      </c>
      <c r="V7" s="9">
        <f t="shared" si="0"/>
        <v>139920</v>
      </c>
      <c r="W7" s="9">
        <f>W6-V7</f>
        <v>349840</v>
      </c>
    </row>
    <row r="8" spans="2:23" x14ac:dyDescent="0.35">
      <c r="T8" s="28">
        <v>4</v>
      </c>
      <c r="U8" s="29">
        <v>0.1249</v>
      </c>
      <c r="V8" s="9">
        <f t="shared" si="0"/>
        <v>99920</v>
      </c>
      <c r="W8" s="9">
        <f t="shared" ref="W8:W12" si="1">W7-V8</f>
        <v>249920</v>
      </c>
    </row>
    <row r="9" spans="2:23" x14ac:dyDescent="0.35">
      <c r="B9" s="20" t="s">
        <v>22</v>
      </c>
      <c r="C9" s="20"/>
      <c r="D9" s="20"/>
      <c r="E9" s="23" t="s">
        <v>43</v>
      </c>
      <c r="F9" s="23"/>
      <c r="G9" s="23"/>
      <c r="K9" s="20" t="s">
        <v>40</v>
      </c>
      <c r="L9" s="20"/>
      <c r="M9" s="20"/>
      <c r="N9" s="25" t="s">
        <v>50</v>
      </c>
      <c r="O9" s="25"/>
      <c r="P9" s="25"/>
      <c r="T9" s="28">
        <v>5</v>
      </c>
      <c r="U9" s="29">
        <v>8.9300000000000004E-2</v>
      </c>
      <c r="V9" s="9">
        <f t="shared" si="0"/>
        <v>71440</v>
      </c>
      <c r="W9" s="9">
        <f t="shared" si="1"/>
        <v>178480</v>
      </c>
    </row>
    <row r="10" spans="2:23" x14ac:dyDescent="0.35">
      <c r="B10" s="20" t="s">
        <v>23</v>
      </c>
      <c r="C10" s="20"/>
      <c r="D10" s="20"/>
      <c r="E10" s="24">
        <v>150</v>
      </c>
      <c r="F10" s="25" t="s">
        <v>44</v>
      </c>
      <c r="G10" s="25"/>
      <c r="K10" s="20" t="s">
        <v>41</v>
      </c>
      <c r="L10" s="20"/>
      <c r="M10" s="20"/>
      <c r="N10" s="25" t="s">
        <v>50</v>
      </c>
      <c r="O10" s="25"/>
      <c r="P10" s="25"/>
      <c r="T10" s="28">
        <v>6</v>
      </c>
      <c r="U10" s="29">
        <v>8.9200000000000002E-2</v>
      </c>
      <c r="V10" s="9">
        <f t="shared" si="0"/>
        <v>71360</v>
      </c>
      <c r="W10" s="9">
        <f t="shared" si="1"/>
        <v>107120</v>
      </c>
    </row>
    <row r="11" spans="2:23" x14ac:dyDescent="0.35">
      <c r="B11" s="21"/>
      <c r="C11" s="21"/>
      <c r="D11" s="21"/>
      <c r="E11" s="24">
        <v>130</v>
      </c>
      <c r="F11" s="25" t="s">
        <v>45</v>
      </c>
      <c r="G11" s="25"/>
      <c r="K11" s="20" t="s">
        <v>27</v>
      </c>
      <c r="L11" s="20"/>
      <c r="M11" s="20"/>
      <c r="N11" s="24">
        <v>800000</v>
      </c>
      <c r="O11" s="25"/>
      <c r="P11" s="25"/>
      <c r="T11" s="28">
        <v>7</v>
      </c>
      <c r="U11" s="29">
        <v>8.9300000000000004E-2</v>
      </c>
      <c r="V11" s="9">
        <f t="shared" si="0"/>
        <v>71440</v>
      </c>
      <c r="W11" s="9">
        <f t="shared" si="1"/>
        <v>35680</v>
      </c>
    </row>
    <row r="12" spans="2:23" x14ac:dyDescent="0.35">
      <c r="B12" s="22" t="s">
        <v>38</v>
      </c>
      <c r="C12" s="22"/>
      <c r="D12" s="22"/>
      <c r="E12" s="24"/>
      <c r="F12" s="25"/>
      <c r="G12" s="25"/>
      <c r="K12" s="20" t="s">
        <v>28</v>
      </c>
      <c r="L12" s="20"/>
      <c r="M12" s="20"/>
      <c r="N12" s="23" t="s">
        <v>51</v>
      </c>
      <c r="O12" s="23"/>
      <c r="P12" s="23"/>
      <c r="T12" s="28">
        <v>8</v>
      </c>
      <c r="U12" s="29">
        <v>4.4600000000000001E-2</v>
      </c>
      <c r="V12" s="9">
        <f t="shared" si="0"/>
        <v>35680</v>
      </c>
      <c r="W12" s="9">
        <f t="shared" si="1"/>
        <v>0</v>
      </c>
    </row>
    <row r="13" spans="2:23" x14ac:dyDescent="0.35">
      <c r="B13" s="20" t="s">
        <v>46</v>
      </c>
      <c r="C13" s="20"/>
      <c r="D13" s="20"/>
      <c r="E13" s="26">
        <v>60</v>
      </c>
      <c r="F13" s="25"/>
      <c r="G13" s="25"/>
      <c r="K13" s="20" t="s">
        <v>29</v>
      </c>
      <c r="L13" s="20"/>
      <c r="M13" s="20"/>
      <c r="N13" s="27">
        <v>0.21</v>
      </c>
      <c r="O13" s="25"/>
      <c r="P13" s="25"/>
    </row>
    <row r="14" spans="2:23" x14ac:dyDescent="0.35">
      <c r="B14" s="20" t="s">
        <v>47</v>
      </c>
      <c r="C14" s="20"/>
      <c r="D14" s="20"/>
      <c r="E14" s="24">
        <v>25000</v>
      </c>
      <c r="F14" s="25"/>
      <c r="G14" s="25"/>
      <c r="K14" s="20" t="s">
        <v>42</v>
      </c>
      <c r="L14" s="20"/>
      <c r="M14" s="20"/>
      <c r="N14" s="27">
        <v>0.15</v>
      </c>
      <c r="O14" s="25"/>
      <c r="P14" s="25"/>
    </row>
    <row r="15" spans="2:23" x14ac:dyDescent="0.35">
      <c r="B15" s="20" t="s">
        <v>26</v>
      </c>
      <c r="C15" s="20"/>
      <c r="D15" s="20"/>
      <c r="E15" s="24">
        <v>20000</v>
      </c>
      <c r="F15" s="25" t="s">
        <v>48</v>
      </c>
      <c r="G15" s="25"/>
    </row>
    <row r="16" spans="2:23" x14ac:dyDescent="0.35">
      <c r="E16" s="27">
        <v>0.15</v>
      </c>
      <c r="F16" s="25" t="s">
        <v>49</v>
      </c>
      <c r="G16" s="25"/>
    </row>
    <row r="19" spans="1:19" x14ac:dyDescent="0.35">
      <c r="K19" s="6"/>
      <c r="L19" s="19" t="s">
        <v>0</v>
      </c>
      <c r="M19" s="19"/>
      <c r="N19" s="19"/>
      <c r="O19" s="19"/>
      <c r="P19" s="19"/>
      <c r="Q19" s="19"/>
      <c r="R19" s="19"/>
      <c r="S19" s="19"/>
    </row>
    <row r="20" spans="1:19" x14ac:dyDescent="0.35">
      <c r="A20" s="6"/>
      <c r="B20" s="19" t="s">
        <v>0</v>
      </c>
      <c r="C20" s="19"/>
      <c r="D20" s="19"/>
      <c r="E20" s="19"/>
      <c r="F20" s="19"/>
      <c r="G20" s="19"/>
      <c r="H20" s="19"/>
      <c r="I20" s="19"/>
      <c r="K20" s="8"/>
      <c r="L20" s="6">
        <v>1</v>
      </c>
      <c r="M20" s="6">
        <v>2</v>
      </c>
      <c r="N20" s="6">
        <v>3</v>
      </c>
      <c r="O20" s="6">
        <v>4</v>
      </c>
      <c r="P20" s="6">
        <v>5</v>
      </c>
      <c r="Q20" s="6">
        <v>6</v>
      </c>
      <c r="R20" s="6">
        <v>7</v>
      </c>
      <c r="S20" s="6">
        <v>8</v>
      </c>
    </row>
    <row r="21" spans="1:19" x14ac:dyDescent="0.35">
      <c r="A21" s="8" t="s">
        <v>56</v>
      </c>
      <c r="B21" s="6">
        <v>1</v>
      </c>
      <c r="C21" s="6">
        <v>2</v>
      </c>
      <c r="D21" s="6">
        <v>3</v>
      </c>
      <c r="E21" s="6">
        <v>4</v>
      </c>
      <c r="F21" s="6">
        <v>5</v>
      </c>
      <c r="G21" s="6">
        <v>6</v>
      </c>
      <c r="H21" s="6">
        <v>7</v>
      </c>
      <c r="I21" s="6">
        <v>8</v>
      </c>
      <c r="K21" s="6" t="s">
        <v>52</v>
      </c>
      <c r="L21" s="9">
        <f>B24</f>
        <v>450000</v>
      </c>
      <c r="M21" s="9">
        <f t="shared" ref="M21:S21" si="2">C24</f>
        <v>750000</v>
      </c>
      <c r="N21" s="9">
        <f t="shared" si="2"/>
        <v>900000</v>
      </c>
      <c r="O21" s="9">
        <f t="shared" si="2"/>
        <v>845000</v>
      </c>
      <c r="P21" s="9">
        <f t="shared" si="2"/>
        <v>780000</v>
      </c>
      <c r="Q21" s="9">
        <f t="shared" si="2"/>
        <v>650000</v>
      </c>
      <c r="R21" s="9">
        <f t="shared" si="2"/>
        <v>520000</v>
      </c>
      <c r="S21" s="9">
        <f t="shared" si="2"/>
        <v>390000</v>
      </c>
    </row>
    <row r="22" spans="1:19" x14ac:dyDescent="0.35">
      <c r="A22" s="6" t="s">
        <v>53</v>
      </c>
      <c r="B22" s="9">
        <f>$E$10</f>
        <v>150</v>
      </c>
      <c r="C22" s="9">
        <f t="shared" ref="C22:D22" si="3">$E$10</f>
        <v>150</v>
      </c>
      <c r="D22" s="9">
        <f t="shared" si="3"/>
        <v>150</v>
      </c>
      <c r="E22" s="9">
        <f>$E$11</f>
        <v>130</v>
      </c>
      <c r="F22" s="9">
        <f t="shared" ref="F22:I22" si="4">$E$11</f>
        <v>130</v>
      </c>
      <c r="G22" s="9">
        <f t="shared" si="4"/>
        <v>130</v>
      </c>
      <c r="H22" s="9">
        <f t="shared" si="4"/>
        <v>130</v>
      </c>
      <c r="I22" s="9">
        <f t="shared" si="4"/>
        <v>130</v>
      </c>
      <c r="K22" s="6" t="s">
        <v>57</v>
      </c>
      <c r="L22" s="9">
        <f>B31</f>
        <v>205000</v>
      </c>
      <c r="M22" s="9">
        <f t="shared" ref="M22:S22" si="5">C31</f>
        <v>325000</v>
      </c>
      <c r="N22" s="9">
        <f t="shared" si="5"/>
        <v>385000</v>
      </c>
      <c r="O22" s="9">
        <f t="shared" si="5"/>
        <v>415000</v>
      </c>
      <c r="P22" s="9">
        <f t="shared" si="5"/>
        <v>385000</v>
      </c>
      <c r="Q22" s="9">
        <f t="shared" si="5"/>
        <v>325000</v>
      </c>
      <c r="R22" s="9">
        <f t="shared" si="5"/>
        <v>265000</v>
      </c>
      <c r="S22" s="9">
        <f t="shared" si="5"/>
        <v>205000</v>
      </c>
    </row>
    <row r="23" spans="1:19" x14ac:dyDescent="0.35">
      <c r="A23" s="6" t="s">
        <v>54</v>
      </c>
      <c r="B23" s="6">
        <v>3000</v>
      </c>
      <c r="C23" s="6">
        <v>5000</v>
      </c>
      <c r="D23" s="6">
        <v>6000</v>
      </c>
      <c r="E23" s="6">
        <v>6500</v>
      </c>
      <c r="F23" s="6">
        <v>6000</v>
      </c>
      <c r="G23" s="6">
        <v>5000</v>
      </c>
      <c r="H23" s="6">
        <v>4000</v>
      </c>
      <c r="I23" s="6">
        <v>3000</v>
      </c>
      <c r="K23" s="8" t="s">
        <v>7</v>
      </c>
      <c r="L23" s="9">
        <f>L21-L22</f>
        <v>245000</v>
      </c>
      <c r="M23" s="9">
        <f t="shared" ref="M23:S23" si="6">M21-M22</f>
        <v>425000</v>
      </c>
      <c r="N23" s="9">
        <f t="shared" si="6"/>
        <v>515000</v>
      </c>
      <c r="O23" s="9">
        <f t="shared" si="6"/>
        <v>430000</v>
      </c>
      <c r="P23" s="9">
        <f t="shared" si="6"/>
        <v>395000</v>
      </c>
      <c r="Q23" s="9">
        <f t="shared" si="6"/>
        <v>325000</v>
      </c>
      <c r="R23" s="9">
        <f t="shared" si="6"/>
        <v>255000</v>
      </c>
      <c r="S23" s="9">
        <f t="shared" si="6"/>
        <v>185000</v>
      </c>
    </row>
    <row r="24" spans="1:19" x14ac:dyDescent="0.35">
      <c r="A24" s="6" t="s">
        <v>52</v>
      </c>
      <c r="B24" s="9">
        <f>B23*B22</f>
        <v>450000</v>
      </c>
      <c r="C24" s="9">
        <f t="shared" ref="C24:I24" si="7">C23*C22</f>
        <v>750000</v>
      </c>
      <c r="D24" s="9">
        <f t="shared" si="7"/>
        <v>900000</v>
      </c>
      <c r="E24" s="9">
        <f t="shared" si="7"/>
        <v>845000</v>
      </c>
      <c r="F24" s="9">
        <f t="shared" si="7"/>
        <v>780000</v>
      </c>
      <c r="G24" s="9">
        <f t="shared" si="7"/>
        <v>650000</v>
      </c>
      <c r="H24" s="9">
        <f t="shared" si="7"/>
        <v>520000</v>
      </c>
      <c r="I24" s="9">
        <f t="shared" si="7"/>
        <v>390000</v>
      </c>
      <c r="K24" s="6"/>
      <c r="L24" s="6"/>
      <c r="M24" s="6"/>
      <c r="N24" s="6"/>
      <c r="O24" s="6"/>
      <c r="P24" s="6"/>
      <c r="Q24" s="6"/>
      <c r="R24" s="6"/>
      <c r="S24" s="6"/>
    </row>
    <row r="25" spans="1:19" x14ac:dyDescent="0.35">
      <c r="K25" s="6" t="s">
        <v>61</v>
      </c>
      <c r="L25" s="9">
        <v>100000</v>
      </c>
      <c r="M25" s="9">
        <v>100000</v>
      </c>
      <c r="N25" s="9">
        <v>50000</v>
      </c>
      <c r="O25" s="9">
        <v>50000</v>
      </c>
      <c r="P25" s="9">
        <v>25000</v>
      </c>
      <c r="Q25" s="9">
        <v>25000</v>
      </c>
      <c r="R25" s="9">
        <v>25000</v>
      </c>
      <c r="S25" s="9">
        <v>25000</v>
      </c>
    </row>
    <row r="26" spans="1:19" x14ac:dyDescent="0.35">
      <c r="K26" s="6" t="s">
        <v>62</v>
      </c>
      <c r="L26" s="9">
        <v>50000</v>
      </c>
      <c r="M26" s="9">
        <v>50000</v>
      </c>
      <c r="N26" s="9">
        <v>40000</v>
      </c>
      <c r="O26" s="9">
        <v>30000</v>
      </c>
      <c r="P26" s="9">
        <v>20000</v>
      </c>
      <c r="Q26" s="9">
        <v>20000</v>
      </c>
      <c r="R26" s="9">
        <v>20000</v>
      </c>
      <c r="S26" s="9">
        <v>20000</v>
      </c>
    </row>
    <row r="27" spans="1:19" x14ac:dyDescent="0.35">
      <c r="A27" s="6"/>
      <c r="B27" s="19" t="s">
        <v>0</v>
      </c>
      <c r="C27" s="19"/>
      <c r="D27" s="19"/>
      <c r="E27" s="19"/>
      <c r="F27" s="19"/>
      <c r="G27" s="19"/>
      <c r="H27" s="19"/>
      <c r="I27" s="19"/>
      <c r="K27" s="6" t="s">
        <v>19</v>
      </c>
      <c r="L27" s="9">
        <f>$V5</f>
        <v>114320</v>
      </c>
      <c r="M27" s="9">
        <f>$V6</f>
        <v>195920</v>
      </c>
      <c r="N27" s="9">
        <f>$V7</f>
        <v>139920</v>
      </c>
      <c r="O27" s="9">
        <f>$V8</f>
        <v>99920</v>
      </c>
      <c r="P27" s="9">
        <f>$V9</f>
        <v>71440</v>
      </c>
      <c r="Q27" s="9">
        <f>$V10</f>
        <v>71360</v>
      </c>
      <c r="R27" s="9">
        <f>$V11</f>
        <v>71440</v>
      </c>
      <c r="S27" s="9">
        <f>$V12</f>
        <v>35680</v>
      </c>
    </row>
    <row r="28" spans="1:19" x14ac:dyDescent="0.35">
      <c r="A28" s="8" t="s">
        <v>38</v>
      </c>
      <c r="B28" s="6">
        <v>1</v>
      </c>
      <c r="C28" s="6">
        <v>2</v>
      </c>
      <c r="D28" s="6">
        <v>3</v>
      </c>
      <c r="E28" s="6">
        <v>4</v>
      </c>
      <c r="F28" s="6">
        <v>5</v>
      </c>
      <c r="G28" s="6">
        <v>6</v>
      </c>
      <c r="H28" s="6">
        <v>7</v>
      </c>
      <c r="I28" s="6">
        <v>8</v>
      </c>
      <c r="K28" s="8" t="s">
        <v>63</v>
      </c>
      <c r="L28" s="9">
        <f>SUM(L25:L27)</f>
        <v>264320</v>
      </c>
      <c r="M28" s="9">
        <f t="shared" ref="M28:S28" si="8">SUM(M25:M27)</f>
        <v>345920</v>
      </c>
      <c r="N28" s="9">
        <f t="shared" si="8"/>
        <v>229920</v>
      </c>
      <c r="O28" s="9">
        <f t="shared" si="8"/>
        <v>179920</v>
      </c>
      <c r="P28" s="9">
        <f t="shared" si="8"/>
        <v>116440</v>
      </c>
      <c r="Q28" s="9">
        <f t="shared" si="8"/>
        <v>116360</v>
      </c>
      <c r="R28" s="9">
        <f t="shared" si="8"/>
        <v>116440</v>
      </c>
      <c r="S28" s="9">
        <f t="shared" si="8"/>
        <v>80680</v>
      </c>
    </row>
    <row r="29" spans="1:19" x14ac:dyDescent="0.35">
      <c r="A29" s="6" t="s">
        <v>39</v>
      </c>
      <c r="B29" s="9">
        <f>B23*$E$13</f>
        <v>180000</v>
      </c>
      <c r="C29" s="9">
        <f t="shared" ref="C29:I29" si="9">C23*$E$13</f>
        <v>300000</v>
      </c>
      <c r="D29" s="9">
        <f t="shared" si="9"/>
        <v>360000</v>
      </c>
      <c r="E29" s="9">
        <f t="shared" si="9"/>
        <v>390000</v>
      </c>
      <c r="F29" s="9">
        <f t="shared" si="9"/>
        <v>360000</v>
      </c>
      <c r="G29" s="9">
        <f t="shared" si="9"/>
        <v>300000</v>
      </c>
      <c r="H29" s="9">
        <f t="shared" si="9"/>
        <v>240000</v>
      </c>
      <c r="I29" s="9">
        <f t="shared" si="9"/>
        <v>180000</v>
      </c>
      <c r="K29" s="6"/>
      <c r="L29" s="6"/>
      <c r="M29" s="6"/>
      <c r="N29" s="6"/>
      <c r="O29" s="6"/>
      <c r="P29" s="6"/>
      <c r="Q29" s="6"/>
      <c r="R29" s="6"/>
      <c r="S29" s="6"/>
    </row>
    <row r="30" spans="1:19" x14ac:dyDescent="0.35">
      <c r="A30" s="6" t="s">
        <v>55</v>
      </c>
      <c r="B30" s="9">
        <f>$E$14</f>
        <v>25000</v>
      </c>
      <c r="C30" s="9">
        <f t="shared" ref="C30:I30" si="10">$E$14</f>
        <v>25000</v>
      </c>
      <c r="D30" s="9">
        <f t="shared" si="10"/>
        <v>25000</v>
      </c>
      <c r="E30" s="9">
        <f t="shared" si="10"/>
        <v>25000</v>
      </c>
      <c r="F30" s="9">
        <f t="shared" si="10"/>
        <v>25000</v>
      </c>
      <c r="G30" s="9">
        <f t="shared" si="10"/>
        <v>25000</v>
      </c>
      <c r="H30" s="9">
        <f t="shared" si="10"/>
        <v>25000</v>
      </c>
      <c r="I30" s="9">
        <f t="shared" si="10"/>
        <v>25000</v>
      </c>
      <c r="K30" s="8" t="s">
        <v>9</v>
      </c>
      <c r="L30" s="9">
        <f>L23-L28</f>
        <v>-19320</v>
      </c>
      <c r="M30" s="9">
        <f t="shared" ref="M30:S30" si="11">M23-M28</f>
        <v>79080</v>
      </c>
      <c r="N30" s="9">
        <f t="shared" si="11"/>
        <v>285080</v>
      </c>
      <c r="O30" s="9">
        <f t="shared" si="11"/>
        <v>250080</v>
      </c>
      <c r="P30" s="9">
        <f t="shared" si="11"/>
        <v>278560</v>
      </c>
      <c r="Q30" s="9">
        <f t="shared" si="11"/>
        <v>208640</v>
      </c>
      <c r="R30" s="9">
        <f t="shared" si="11"/>
        <v>138560</v>
      </c>
      <c r="S30" s="9">
        <f t="shared" si="11"/>
        <v>104320</v>
      </c>
    </row>
    <row r="31" spans="1:19" x14ac:dyDescent="0.35">
      <c r="A31" s="6" t="s">
        <v>57</v>
      </c>
      <c r="B31" s="9">
        <f>B29+B30</f>
        <v>205000</v>
      </c>
      <c r="C31" s="9">
        <f t="shared" ref="C31:I31" si="12">C29+C30</f>
        <v>325000</v>
      </c>
      <c r="D31" s="9">
        <f t="shared" si="12"/>
        <v>385000</v>
      </c>
      <c r="E31" s="9">
        <f t="shared" si="12"/>
        <v>415000</v>
      </c>
      <c r="F31" s="9">
        <f t="shared" si="12"/>
        <v>385000</v>
      </c>
      <c r="G31" s="9">
        <f t="shared" si="12"/>
        <v>325000</v>
      </c>
      <c r="H31" s="9">
        <f t="shared" si="12"/>
        <v>265000</v>
      </c>
      <c r="I31" s="9">
        <f t="shared" si="12"/>
        <v>205000</v>
      </c>
      <c r="K31" s="6" t="s">
        <v>64</v>
      </c>
      <c r="L31" s="9">
        <f>21%*L30</f>
        <v>-4057.2</v>
      </c>
      <c r="M31" s="9">
        <f t="shared" ref="M31:S31" si="13">21%*M30</f>
        <v>16606.8</v>
      </c>
      <c r="N31" s="9">
        <f t="shared" si="13"/>
        <v>59866.799999999996</v>
      </c>
      <c r="O31" s="9">
        <f t="shared" si="13"/>
        <v>52516.799999999996</v>
      </c>
      <c r="P31" s="9">
        <f t="shared" si="13"/>
        <v>58497.599999999999</v>
      </c>
      <c r="Q31" s="9">
        <f t="shared" si="13"/>
        <v>43814.400000000001</v>
      </c>
      <c r="R31" s="9">
        <f t="shared" si="13"/>
        <v>29097.599999999999</v>
      </c>
      <c r="S31" s="9">
        <f t="shared" si="13"/>
        <v>21907.200000000001</v>
      </c>
    </row>
    <row r="32" spans="1:19" x14ac:dyDescent="0.35">
      <c r="K32" s="31" t="s">
        <v>65</v>
      </c>
      <c r="L32" s="9">
        <f>L30-L31</f>
        <v>-15262.8</v>
      </c>
      <c r="M32" s="9">
        <f t="shared" ref="M32:S32" si="14">M30-M31</f>
        <v>62473.2</v>
      </c>
      <c r="N32" s="9">
        <f t="shared" si="14"/>
        <v>225213.2</v>
      </c>
      <c r="O32" s="9">
        <f t="shared" si="14"/>
        <v>197563.2</v>
      </c>
      <c r="P32" s="9">
        <f t="shared" si="14"/>
        <v>220062.4</v>
      </c>
      <c r="Q32" s="9">
        <f t="shared" si="14"/>
        <v>164825.60000000001</v>
      </c>
      <c r="R32" s="9">
        <f t="shared" si="14"/>
        <v>109462.39999999999</v>
      </c>
      <c r="S32" s="9">
        <f t="shared" si="14"/>
        <v>82412.800000000003</v>
      </c>
    </row>
    <row r="33" spans="10:19" x14ac:dyDescent="0.35">
      <c r="K33" s="8" t="s">
        <v>15</v>
      </c>
      <c r="L33" s="9">
        <f>L32+L27</f>
        <v>99057.2</v>
      </c>
      <c r="M33" s="9">
        <f t="shared" ref="M33:S33" si="15">M32+M27</f>
        <v>258393.2</v>
      </c>
      <c r="N33" s="9">
        <f t="shared" si="15"/>
        <v>365133.2</v>
      </c>
      <c r="O33" s="9">
        <f t="shared" si="15"/>
        <v>297483.2</v>
      </c>
      <c r="P33" s="9">
        <f t="shared" si="15"/>
        <v>291502.40000000002</v>
      </c>
      <c r="Q33" s="9">
        <f t="shared" si="15"/>
        <v>236185.60000000001</v>
      </c>
      <c r="R33" s="9">
        <f t="shared" si="15"/>
        <v>180902.39999999999</v>
      </c>
      <c r="S33" s="9">
        <f t="shared" si="15"/>
        <v>118092.8</v>
      </c>
    </row>
    <row r="35" spans="10:19" x14ac:dyDescent="0.35">
      <c r="J35" s="33"/>
      <c r="K35" s="15" t="s">
        <v>0</v>
      </c>
      <c r="L35" s="15"/>
      <c r="M35" s="15"/>
      <c r="N35" s="15"/>
      <c r="O35" s="15"/>
      <c r="P35" s="15"/>
      <c r="Q35" s="15"/>
      <c r="R35" s="15"/>
      <c r="S35" s="15"/>
    </row>
    <row r="36" spans="10:19" x14ac:dyDescent="0.35">
      <c r="J36" s="33"/>
      <c r="K36" s="12">
        <v>0</v>
      </c>
      <c r="L36" s="12">
        <v>1</v>
      </c>
      <c r="M36" s="12">
        <v>2</v>
      </c>
      <c r="N36" s="12">
        <v>3</v>
      </c>
      <c r="O36" s="12">
        <v>4</v>
      </c>
      <c r="P36" s="12">
        <v>5</v>
      </c>
      <c r="Q36" s="12">
        <v>6</v>
      </c>
      <c r="R36" s="12">
        <v>7</v>
      </c>
      <c r="S36" s="12">
        <v>8</v>
      </c>
    </row>
    <row r="37" spans="10:19" x14ac:dyDescent="0.35">
      <c r="J37" s="6" t="s">
        <v>66</v>
      </c>
      <c r="K37" s="9">
        <f>E15</f>
        <v>20000</v>
      </c>
      <c r="L37" s="9">
        <f>L21*$E$16</f>
        <v>67500</v>
      </c>
      <c r="M37" s="9">
        <f t="shared" ref="M37:S37" si="16">M21*$E$16</f>
        <v>112500</v>
      </c>
      <c r="N37" s="9">
        <f t="shared" si="16"/>
        <v>135000</v>
      </c>
      <c r="O37" s="9">
        <f t="shared" si="16"/>
        <v>126750</v>
      </c>
      <c r="P37" s="9">
        <f t="shared" si="16"/>
        <v>117000</v>
      </c>
      <c r="Q37" s="9">
        <f t="shared" si="16"/>
        <v>97500</v>
      </c>
      <c r="R37" s="9">
        <f t="shared" si="16"/>
        <v>78000</v>
      </c>
      <c r="S37" s="9">
        <f t="shared" si="16"/>
        <v>58500</v>
      </c>
    </row>
    <row r="38" spans="10:19" x14ac:dyDescent="0.35">
      <c r="J38" s="6" t="s">
        <v>21</v>
      </c>
      <c r="K38" s="9">
        <f>K37</f>
        <v>20000</v>
      </c>
      <c r="L38" s="9">
        <f>L37-K37</f>
        <v>47500</v>
      </c>
      <c r="M38" s="9">
        <f t="shared" ref="M38:S38" si="17">M37-L37</f>
        <v>45000</v>
      </c>
      <c r="N38" s="9">
        <f t="shared" si="17"/>
        <v>22500</v>
      </c>
      <c r="O38" s="9">
        <f t="shared" si="17"/>
        <v>-8250</v>
      </c>
      <c r="P38" s="9">
        <f t="shared" si="17"/>
        <v>-9750</v>
      </c>
      <c r="Q38" s="9">
        <f t="shared" si="17"/>
        <v>-19500</v>
      </c>
      <c r="R38" s="9">
        <f t="shared" si="17"/>
        <v>-19500</v>
      </c>
      <c r="S38" s="9">
        <f>S37-R37-S39</f>
        <v>-78000</v>
      </c>
    </row>
    <row r="39" spans="10:19" x14ac:dyDescent="0.35">
      <c r="J39" s="6" t="s">
        <v>69</v>
      </c>
      <c r="K39" s="6"/>
      <c r="L39" s="6"/>
      <c r="M39" s="6"/>
      <c r="N39" s="6"/>
      <c r="O39" s="6"/>
      <c r="P39" s="6"/>
      <c r="Q39" s="6"/>
      <c r="R39" s="6"/>
      <c r="S39" s="9">
        <f>S37</f>
        <v>58500</v>
      </c>
    </row>
    <row r="40" spans="10:19" x14ac:dyDescent="0.35">
      <c r="J40" s="6" t="s">
        <v>2</v>
      </c>
      <c r="K40" s="9">
        <f>-K38</f>
        <v>-20000</v>
      </c>
      <c r="L40" s="9">
        <f>-L38</f>
        <v>-47500</v>
      </c>
      <c r="M40" s="9">
        <f>-M38</f>
        <v>-45000</v>
      </c>
      <c r="N40" s="9">
        <f>-N38</f>
        <v>-22500</v>
      </c>
      <c r="O40" s="9">
        <f>-O38</f>
        <v>8250</v>
      </c>
      <c r="P40" s="9">
        <f>-P38</f>
        <v>9750</v>
      </c>
      <c r="Q40" s="9">
        <f>-Q38</f>
        <v>19500</v>
      </c>
      <c r="R40" s="9">
        <f>-R38</f>
        <v>19500</v>
      </c>
      <c r="S40" s="9">
        <f>-S38</f>
        <v>78000</v>
      </c>
    </row>
    <row r="41" spans="10:19" x14ac:dyDescent="0.35">
      <c r="J41" s="6" t="s">
        <v>67</v>
      </c>
      <c r="K41" s="9">
        <f>-N11</f>
        <v>-800000</v>
      </c>
      <c r="L41" s="32">
        <v>0</v>
      </c>
      <c r="M41" s="32">
        <v>0</v>
      </c>
      <c r="N41" s="32">
        <v>0</v>
      </c>
      <c r="O41" s="32">
        <v>0</v>
      </c>
      <c r="P41" s="32">
        <v>0</v>
      </c>
      <c r="Q41" s="32">
        <v>0</v>
      </c>
      <c r="R41" s="32">
        <v>0</v>
      </c>
      <c r="S41" s="9">
        <f>(1-21%)*(20%*N11)</f>
        <v>126400</v>
      </c>
    </row>
    <row r="42" spans="10:19" x14ac:dyDescent="0.35">
      <c r="J42" s="8" t="s">
        <v>68</v>
      </c>
      <c r="K42" s="9">
        <f>SUM(K40:K41)</f>
        <v>-820000</v>
      </c>
      <c r="L42" s="9">
        <f>SUM(L33,L40:L41)</f>
        <v>51557.2</v>
      </c>
      <c r="M42" s="9">
        <f>SUM(M33,M40:M41)</f>
        <v>213393.2</v>
      </c>
      <c r="N42" s="9">
        <f>SUM(N33,N40:N41)</f>
        <v>342633.2</v>
      </c>
      <c r="O42" s="9">
        <f>SUM(O33,O40:O41)</f>
        <v>305733.2</v>
      </c>
      <c r="P42" s="9">
        <f>SUM(P33,P40:P41)</f>
        <v>301252.40000000002</v>
      </c>
      <c r="Q42" s="9">
        <f>SUM(Q33,Q40:Q41)</f>
        <v>255685.6</v>
      </c>
      <c r="R42" s="9">
        <f>SUM(R33,R40:R41)</f>
        <v>200402.4</v>
      </c>
      <c r="S42" s="9">
        <f>SUM(S33,S40:S41)</f>
        <v>322492.79999999999</v>
      </c>
    </row>
    <row r="44" spans="10:19" x14ac:dyDescent="0.35">
      <c r="J44" t="s">
        <v>36</v>
      </c>
      <c r="K44" s="2">
        <f>K42</f>
        <v>-820000</v>
      </c>
      <c r="L44" s="2">
        <f>K44+L42</f>
        <v>-768442.8</v>
      </c>
      <c r="M44" s="2">
        <f t="shared" ref="M44:S44" si="18">L44+M42</f>
        <v>-555049.60000000009</v>
      </c>
      <c r="N44" s="2">
        <f t="shared" si="18"/>
        <v>-212416.40000000008</v>
      </c>
      <c r="O44" s="2">
        <f t="shared" si="18"/>
        <v>93316.79999999993</v>
      </c>
      <c r="P44" s="2">
        <f t="shared" si="18"/>
        <v>394569.19999999995</v>
      </c>
      <c r="Q44" s="2">
        <f t="shared" si="18"/>
        <v>650254.79999999993</v>
      </c>
      <c r="R44" s="2">
        <f t="shared" si="18"/>
        <v>850657.2</v>
      </c>
      <c r="S44" s="2">
        <f t="shared" si="18"/>
        <v>1173150</v>
      </c>
    </row>
    <row r="46" spans="10:19" x14ac:dyDescent="0.35">
      <c r="J46" t="s">
        <v>70</v>
      </c>
      <c r="K46" s="2">
        <f>NPV(N14,L42:S42)</f>
        <v>1047356.8837180228</v>
      </c>
    </row>
    <row r="47" spans="10:19" x14ac:dyDescent="0.35">
      <c r="J47" t="s">
        <v>33</v>
      </c>
      <c r="K47" s="2">
        <f>N11</f>
        <v>800000</v>
      </c>
    </row>
    <row r="48" spans="10:19" x14ac:dyDescent="0.35">
      <c r="J48" s="30" t="s">
        <v>34</v>
      </c>
      <c r="K48" s="2">
        <f>K46-K47</f>
        <v>247356.88371802284</v>
      </c>
    </row>
    <row r="49" spans="10:11" x14ac:dyDescent="0.35">
      <c r="J49" s="30" t="s">
        <v>35</v>
      </c>
      <c r="K49" s="10">
        <f>IRR(K42:S42)</f>
        <v>0.21885959120215825</v>
      </c>
    </row>
    <row r="50" spans="10:11" x14ac:dyDescent="0.35">
      <c r="J50" s="30" t="s">
        <v>37</v>
      </c>
      <c r="K50" s="14">
        <f>3+(-N44/O42)</f>
        <v>3.6947770147304908</v>
      </c>
    </row>
  </sheetData>
  <mergeCells count="17">
    <mergeCell ref="B27:I27"/>
    <mergeCell ref="L19:S19"/>
    <mergeCell ref="K35:S35"/>
    <mergeCell ref="K14:M14"/>
    <mergeCell ref="B14:D14"/>
    <mergeCell ref="B15:D15"/>
    <mergeCell ref="B20:I20"/>
    <mergeCell ref="E9:G9"/>
    <mergeCell ref="N12:P12"/>
    <mergeCell ref="B9:D9"/>
    <mergeCell ref="B10:D10"/>
    <mergeCell ref="B13:D13"/>
    <mergeCell ref="K9:M9"/>
    <mergeCell ref="K10:M10"/>
    <mergeCell ref="K11:M11"/>
    <mergeCell ref="K12:M12"/>
    <mergeCell ref="K13:M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 Working Capital &amp; Cashflow</vt:lpstr>
      <vt:lpstr>Simple Project Business Case</vt:lpstr>
      <vt:lpstr>Complex Project Business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 Novrian Ahmad Lbn Gaol</dc:creator>
  <cp:lastModifiedBy>Dani Novrian Ahmad Lbn Gaol</cp:lastModifiedBy>
  <dcterms:created xsi:type="dcterms:W3CDTF">2026-04-17T01:19:27Z</dcterms:created>
  <dcterms:modified xsi:type="dcterms:W3CDTF">2026-04-17T07:13:25Z</dcterms:modified>
</cp:coreProperties>
</file>