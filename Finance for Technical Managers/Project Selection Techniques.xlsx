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NA\Coursera\Finance for Technical Managers\2_Project Valuation and the Capital Budgeting Process\Modul 3\"/>
    </mc:Choice>
  </mc:AlternateContent>
  <xr:revisionPtr revIDLastSave="0" documentId="8_{1CCFD145-6FF6-42FC-A7E2-CAFE9570FB1B}" xr6:coauthVersionLast="47" xr6:coauthVersionMax="47" xr10:uidLastSave="{00000000-0000-0000-0000-000000000000}"/>
  <bookViews>
    <workbookView xWindow="-110" yWindow="-110" windowWidth="19420" windowHeight="10300" activeTab="2" xr2:uid="{5FE3DE29-55D7-40D1-8D26-94CF0EE8F8B4}"/>
  </bookViews>
  <sheets>
    <sheet name="Mutually Exclusice" sheetId="1" r:id="rId1"/>
    <sheet name="MIRR" sheetId="2" r:id="rId2"/>
    <sheet name="Incremental Cash Flow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12" i="3" l="1"/>
  <c r="G113" i="3" s="1"/>
  <c r="F112" i="3"/>
  <c r="E112" i="3"/>
  <c r="D112" i="3"/>
  <c r="C112" i="3"/>
  <c r="D111" i="3"/>
  <c r="G111" i="3"/>
  <c r="F111" i="3"/>
  <c r="E111" i="3"/>
  <c r="C111" i="3"/>
  <c r="B116" i="3"/>
  <c r="E113" i="3"/>
  <c r="D113" i="3"/>
  <c r="C113" i="3"/>
  <c r="B112" i="3"/>
  <c r="B113" i="3" s="1"/>
  <c r="E84" i="3"/>
  <c r="B84" i="3"/>
  <c r="E83" i="3"/>
  <c r="E80" i="3"/>
  <c r="E79" i="3"/>
  <c r="E81" i="3" s="1"/>
  <c r="B79" i="3"/>
  <c r="B80" i="3"/>
  <c r="B83" i="3"/>
  <c r="B76" i="3"/>
  <c r="E76" i="3"/>
  <c r="D76" i="3"/>
  <c r="C76" i="3"/>
  <c r="B63" i="3"/>
  <c r="B65" i="3" s="1"/>
  <c r="B46" i="3"/>
  <c r="B48" i="3" s="1"/>
  <c r="B67" i="3"/>
  <c r="B64" i="3"/>
  <c r="G58" i="3"/>
  <c r="G59" i="3" s="1"/>
  <c r="F58" i="3"/>
  <c r="F59" i="3" s="1"/>
  <c r="E58" i="3"/>
  <c r="D58" i="3"/>
  <c r="D59" i="3" s="1"/>
  <c r="C58" i="3"/>
  <c r="C59" i="3" s="1"/>
  <c r="B58" i="3"/>
  <c r="B59" i="3" s="1"/>
  <c r="E59" i="3"/>
  <c r="G57" i="3"/>
  <c r="F57" i="3"/>
  <c r="E57" i="3"/>
  <c r="D57" i="3"/>
  <c r="C57" i="3"/>
  <c r="B57" i="3"/>
  <c r="B50" i="3"/>
  <c r="B47" i="3"/>
  <c r="G41" i="3"/>
  <c r="F41" i="3"/>
  <c r="E41" i="3"/>
  <c r="D41" i="3"/>
  <c r="C41" i="3"/>
  <c r="C42" i="3" s="1"/>
  <c r="B41" i="3"/>
  <c r="G40" i="3"/>
  <c r="F40" i="3"/>
  <c r="E40" i="3"/>
  <c r="D40" i="3"/>
  <c r="C40" i="3"/>
  <c r="B40" i="3"/>
  <c r="F42" i="3"/>
  <c r="B21" i="3"/>
  <c r="F17" i="3"/>
  <c r="F18" i="3" s="1"/>
  <c r="E17" i="3"/>
  <c r="E18" i="3" s="1"/>
  <c r="D17" i="3"/>
  <c r="D18" i="3" s="1"/>
  <c r="C17" i="3"/>
  <c r="C18" i="3" s="1"/>
  <c r="G16" i="3"/>
  <c r="F16" i="3"/>
  <c r="E16" i="3"/>
  <c r="D16" i="3"/>
  <c r="C16" i="3"/>
  <c r="G17" i="3"/>
  <c r="G18" i="3" s="1"/>
  <c r="B17" i="3"/>
  <c r="B18" i="3" s="1"/>
  <c r="B24" i="3" s="1"/>
  <c r="B17" i="2"/>
  <c r="H17" i="2"/>
  <c r="H12" i="2"/>
  <c r="H11" i="2"/>
  <c r="H13" i="2" s="1"/>
  <c r="H15" i="2"/>
  <c r="B15" i="2"/>
  <c r="B13" i="2"/>
  <c r="B12" i="2"/>
  <c r="B11" i="2"/>
  <c r="H9" i="2"/>
  <c r="B9" i="2"/>
  <c r="B11" i="1"/>
  <c r="B18" i="1"/>
  <c r="E18" i="1"/>
  <c r="E15" i="1"/>
  <c r="E17" i="1" s="1"/>
  <c r="E16" i="1"/>
  <c r="B17" i="1"/>
  <c r="B16" i="1"/>
  <c r="B15" i="1"/>
  <c r="B10" i="1"/>
  <c r="G11" i="1"/>
  <c r="F11" i="1"/>
  <c r="E11" i="1"/>
  <c r="D11" i="1"/>
  <c r="C11" i="1"/>
  <c r="F113" i="3" l="1"/>
  <c r="B81" i="3"/>
  <c r="G42" i="3"/>
  <c r="E42" i="3"/>
  <c r="D42" i="3"/>
  <c r="B42" i="3"/>
  <c r="B20" i="3"/>
  <c r="B22" i="3" s="1"/>
  <c r="B115" i="3" l="1"/>
  <c r="B117" i="3" s="1"/>
  <c r="B119" i="3"/>
</calcChain>
</file>

<file path=xl/sharedStrings.xml><?xml version="1.0" encoding="utf-8"?>
<sst xmlns="http://schemas.openxmlformats.org/spreadsheetml/2006/main" count="115" uniqueCount="48">
  <si>
    <t>Initial investment</t>
  </si>
  <si>
    <t>Discount Rate</t>
  </si>
  <si>
    <t>Year</t>
  </si>
  <si>
    <t>Project A</t>
  </si>
  <si>
    <t>Project B</t>
  </si>
  <si>
    <t>PV (Yr 1-5)</t>
  </si>
  <si>
    <t>Init. Investment</t>
  </si>
  <si>
    <t>NPV</t>
  </si>
  <si>
    <t>IRR</t>
  </si>
  <si>
    <t>0 (Int. Invest)</t>
  </si>
  <si>
    <t>Initial Investment</t>
  </si>
  <si>
    <t>End of Year Cashflow</t>
  </si>
  <si>
    <t>Cash Flows</t>
  </si>
  <si>
    <t>PV (Yr. 1-2)</t>
  </si>
  <si>
    <t>Init. Invest</t>
  </si>
  <si>
    <t>MIRR</t>
  </si>
  <si>
    <t>As-Is case</t>
  </si>
  <si>
    <t>Annual Operating Expenses</t>
  </si>
  <si>
    <t>To Be-Case</t>
  </si>
  <si>
    <t>Time (Years)</t>
  </si>
  <si>
    <t>Salvage Value</t>
  </si>
  <si>
    <t>As-Is Case</t>
  </si>
  <si>
    <t>Incremental Cash Flow</t>
  </si>
  <si>
    <t xml:space="preserve">PV (Yr 1-5)  </t>
  </si>
  <si>
    <t>Int. Investment</t>
  </si>
  <si>
    <t>Net Present Value, NPV</t>
  </si>
  <si>
    <t>Internal Rate of Return, IRR</t>
  </si>
  <si>
    <t>Initial Cost ($)</t>
  </si>
  <si>
    <t>Annual O&amp;M ($)</t>
  </si>
  <si>
    <t>Polution Control System #1</t>
  </si>
  <si>
    <t>Polution Control System #2</t>
  </si>
  <si>
    <t>Polution Control System #3</t>
  </si>
  <si>
    <t>Step 1: Order the PCS</t>
  </si>
  <si>
    <t>Project</t>
  </si>
  <si>
    <t>PC2</t>
  </si>
  <si>
    <t>PC1</t>
  </si>
  <si>
    <t>Incremental Investment</t>
  </si>
  <si>
    <t>Discounted Rate</t>
  </si>
  <si>
    <t>Step 4: Determined ICF (PC3)</t>
  </si>
  <si>
    <t>Step 2: Determine ICF (PC 1)</t>
  </si>
  <si>
    <t>PC3</t>
  </si>
  <si>
    <t>Step 3: Evaluate the NPV &amp; IRR (PC1)</t>
  </si>
  <si>
    <t>Step 5: Evaluate the NPV &amp; IRR (PC3)</t>
  </si>
  <si>
    <t>Project Red</t>
  </si>
  <si>
    <t>Project Blue</t>
  </si>
  <si>
    <t xml:space="preserve">PV (Yr 1-3)  </t>
  </si>
  <si>
    <t>Dics Rate</t>
  </si>
  <si>
    <t>Ex.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</si>
</sst>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_-[$$-409]* #,##0.00_ ;_-[$$-409]* \-#,##0.00\ ;_-[$$-409]* &quot;-&quot;??_ ;_-@_ "/>
    <numFmt numFmtId="165" formatCode="_-[$$-409]* #,##0_ ;_-[$$-409]* \-#,##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127000</xdr:colOff>
      <xdr:row>0</xdr:row>
      <xdr:rowOff>76200</xdr:rowOff>
    </xdr:from>
    <xdr:to>
      <xdr:col>2</xdr:col>
      <xdr:colOff>622300</xdr:colOff>
      <xdr:row>1</xdr:row>
      <xdr:rowOff>152400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71F1427-CDF2-2F22-1EE3-D9F410266CF3}"/>
            </a:ext>
          </a:extLst>
        </xdr:cNvPr>
        <xdr:cNvSpPr/>
      </xdr:nvSpPr>
      <xdr:spPr>
        <a:xfrm>
          <a:off x="127000" y="76200"/>
          <a:ext cx="2406650" cy="260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Comparing mutually exclusive project</a:t>
          </a:r>
        </a:p>
        <a:p>
          <a:pPr algn="l"/>
          <a:endParaRPr lang="en-ID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57150</xdr:colOff>
      <xdr:row>0</xdr:row>
      <xdr:rowOff>76200</xdr:rowOff>
    </xdr:from>
    <xdr:to>
      <xdr:col>2</xdr:col>
      <xdr:colOff>152400</xdr:colOff>
      <xdr:row>1</xdr:row>
      <xdr:rowOff>158750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4D5A7B6-050F-A44D-CA62-80191C68EAB4}"/>
            </a:ext>
          </a:extLst>
        </xdr:cNvPr>
        <xdr:cNvSpPr/>
      </xdr:nvSpPr>
      <xdr:spPr>
        <a:xfrm>
          <a:off x="57150" y="76200"/>
          <a:ext cx="2139950" cy="2667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Fixing</a:t>
          </a:r>
          <a:r>
            <a:rPr lang="en-ID" sz="1100" baseline="0"/>
            <a:t> the IRR Dilemma with MIRR</a:t>
          </a:r>
          <a:endParaRPr lang="en-ID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31750</xdr:colOff>
      <xdr:row>0</xdr:row>
      <xdr:rowOff>57150</xdr:rowOff>
    </xdr:from>
    <xdr:to>
      <xdr:col>1</xdr:col>
      <xdr:colOff>196850</xdr:colOff>
      <xdr:row>1</xdr:row>
      <xdr:rowOff>133350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1BAAE8BA-AE73-80A3-26D5-E7FA77F54DAE}"/>
            </a:ext>
          </a:extLst>
        </xdr:cNvPr>
        <xdr:cNvSpPr/>
      </xdr:nvSpPr>
      <xdr:spPr>
        <a:xfrm>
          <a:off x="31750" y="57150"/>
          <a:ext cx="2349500" cy="2603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Ex1. Incremental</a:t>
          </a:r>
          <a:r>
            <a:rPr lang="en-ID" sz="1100" baseline="0"/>
            <a:t> Cash Flow Example</a:t>
          </a:r>
          <a:endParaRPr lang="en-ID" sz="1100"/>
        </a:p>
      </xdr:txBody>
    </xdr:sp>
    <xdr:clientData/>
  </xdr:twoCellAnchor>
  <xdr:twoCellAnchor>
    <xdr:from>
      <xdr:col>0</xdr:col>
      <xdr:colOff>95250</xdr:colOff>
      <xdr:row>25</xdr:row>
      <xdr:rowOff>25400</xdr:rowOff>
    </xdr:from>
    <xdr:to>
      <xdr:col>2</xdr:col>
      <xdr:colOff>1530350</xdr:colOff>
      <xdr:row>29</xdr:row>
      <xdr:rowOff>127000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8F71FA10-0EF4-A303-D186-CF02E8BB67B0}"/>
            </a:ext>
          </a:extLst>
        </xdr:cNvPr>
        <xdr:cNvSpPr/>
      </xdr:nvSpPr>
      <xdr:spPr>
        <a:xfrm>
          <a:off x="95250" y="4629150"/>
          <a:ext cx="4914900" cy="8382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You need to purchase a new pollution control system for your facility to comply with local emission regulations. The equipment has a life of 5 years. Your company has a discount rate of 14%. You identified 3 products that will work, with the following costs:</a:t>
          </a:r>
          <a:endParaRPr lang="en-ID" sz="1100"/>
        </a:p>
      </xdr:txBody>
    </xdr:sp>
    <xdr:clientData/>
  </xdr:twoCellAnchor>
  <xdr:twoCellAnchor>
    <xdr:from>
      <xdr:col>2</xdr:col>
      <xdr:colOff>133350</xdr:colOff>
      <xdr:row>43</xdr:row>
      <xdr:rowOff>107950</xdr:rowOff>
    </xdr:from>
    <xdr:to>
      <xdr:col>5</xdr:col>
      <xdr:colOff>273050</xdr:colOff>
      <xdr:row>48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67AC866-E7B0-7D4C-AE53-4DBDA6D46ED2}"/>
            </a:ext>
          </a:extLst>
        </xdr:cNvPr>
        <xdr:cNvSpPr/>
      </xdr:nvSpPr>
      <xdr:spPr>
        <a:xfrm>
          <a:off x="3613150" y="8026400"/>
          <a:ext cx="4165600" cy="850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- The NPV is negative, and the IRR is less than the discount rate (14%). </a:t>
          </a:r>
        </a:p>
        <a:p>
          <a:pPr algn="l"/>
          <a:r>
            <a:rPr lang="en-ID"/>
            <a:t>=&gt; The additional investment in PC1 is not worth the lower O&amp;M costs, relative to PC2. </a:t>
          </a:r>
        </a:p>
        <a:p>
          <a:pPr algn="l"/>
          <a:r>
            <a:rPr lang="en-ID"/>
            <a:t>- Reject PC1, PC2 remains as the Base Case. </a:t>
          </a:r>
          <a:endParaRPr lang="en-ID" sz="1100"/>
        </a:p>
      </xdr:txBody>
    </xdr:sp>
    <xdr:clientData/>
  </xdr:twoCellAnchor>
  <xdr:twoCellAnchor>
    <xdr:from>
      <xdr:col>2</xdr:col>
      <xdr:colOff>336550</xdr:colOff>
      <xdr:row>60</xdr:row>
      <xdr:rowOff>165100</xdr:rowOff>
    </xdr:from>
    <xdr:to>
      <xdr:col>5</xdr:col>
      <xdr:colOff>393700</xdr:colOff>
      <xdr:row>66</xdr:row>
      <xdr:rowOff>107950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7B6BF79-4CF5-60FC-91E9-62184B087FFB}"/>
            </a:ext>
          </a:extLst>
        </xdr:cNvPr>
        <xdr:cNvSpPr/>
      </xdr:nvSpPr>
      <xdr:spPr>
        <a:xfrm>
          <a:off x="4159250" y="11214100"/>
          <a:ext cx="4083050" cy="104775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/>
            <a:t>- The NPV is now positive, and the IRR is more than the discount rate (14%). </a:t>
          </a:r>
        </a:p>
        <a:p>
          <a:pPr algn="l"/>
          <a:r>
            <a:rPr lang="en-ID"/>
            <a:t>=&gt; The additional investment in PC3 is worth the lower O&amp;M costs, relative to PC2. </a:t>
          </a:r>
        </a:p>
        <a:p>
          <a:pPr algn="l"/>
          <a:r>
            <a:rPr lang="en-ID"/>
            <a:t>- Reject PC2, </a:t>
          </a:r>
          <a:r>
            <a:rPr lang="en-ID">
              <a:solidFill>
                <a:schemeClr val="accent6"/>
              </a:solidFill>
            </a:rPr>
            <a:t>PC3 is selected as the project</a:t>
          </a:r>
          <a:r>
            <a:rPr lang="en-ID"/>
            <a:t>!</a:t>
          </a:r>
          <a:endParaRPr lang="en-ID" sz="1100"/>
        </a:p>
      </xdr:txBody>
    </xdr:sp>
    <xdr:clientData/>
  </xdr:twoCellAnchor>
  <xdr:twoCellAnchor>
    <xdr:from>
      <xdr:col>0</xdr:col>
      <xdr:colOff>95250</xdr:colOff>
      <xdr:row>86</xdr:row>
      <xdr:rowOff>146050</xdr:rowOff>
    </xdr:from>
    <xdr:to>
      <xdr:col>2</xdr:col>
      <xdr:colOff>1270000</xdr:colOff>
      <xdr:row>94</xdr:row>
      <xdr:rowOff>31750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74BA1495-E75B-B163-2868-268CFD4C7A1F}"/>
            </a:ext>
          </a:extLst>
        </xdr:cNvPr>
        <xdr:cNvSpPr/>
      </xdr:nvSpPr>
      <xdr:spPr>
        <a:xfrm>
          <a:off x="95250" y="15982950"/>
          <a:ext cx="4997450" cy="1358900"/>
        </a:xfrm>
        <a:prstGeom prst="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production process currently has operating expenses of $200,000 a year. You’re exploring a new system that could reduce the operating expenses to $100,000 per year. The new system has an initial cost of $250,000 and is expected to last 5 years. The company has a discount rate of 16%.</a:t>
          </a:r>
        </a:p>
        <a:p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Conduct an incremental cash flow analysis, where the current process is the “as-is” case, and the new system is the “to-be” case. </a:t>
          </a:r>
        </a:p>
        <a:p>
          <a:r>
            <a:rPr lang="en-ID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What is the NPV based on the incremental cash flows?</a:t>
          </a:r>
        </a:p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9AE0B-3511-4AF4-8CEB-9E53307E8886}">
  <dimension ref="A4:G18"/>
  <sheetViews>
    <sheetView topLeftCell="A4" workbookViewId="0">
      <selection activeCell="C11" sqref="C11"/>
    </sheetView>
  </sheetViews>
  <sheetFormatPr defaultRowHeight="14.5" x14ac:dyDescent="0.35"/>
  <cols>
    <col min="1" max="1" width="15.54296875" customWidth="1"/>
    <col min="2" max="2" width="11.81640625" bestFit="1" customWidth="1"/>
    <col min="3" max="3" width="9.90625" bestFit="1" customWidth="1"/>
    <col min="4" max="4" width="14" bestFit="1" customWidth="1"/>
  </cols>
  <sheetData>
    <row r="4" spans="1:7" x14ac:dyDescent="0.35">
      <c r="A4" t="s">
        <v>0</v>
      </c>
      <c r="B4" s="3">
        <v>1000</v>
      </c>
    </row>
    <row r="5" spans="1:7" x14ac:dyDescent="0.35">
      <c r="A5" t="s">
        <v>1</v>
      </c>
      <c r="B5" s="1">
        <v>0.15</v>
      </c>
    </row>
    <row r="8" spans="1:7" x14ac:dyDescent="0.35">
      <c r="B8" s="6" t="s">
        <v>2</v>
      </c>
      <c r="C8" s="6"/>
      <c r="D8" s="6"/>
      <c r="E8" s="6"/>
      <c r="F8" s="6"/>
      <c r="G8" s="6"/>
    </row>
    <row r="9" spans="1:7" x14ac:dyDescent="0.35">
      <c r="B9" t="s">
        <v>9</v>
      </c>
      <c r="C9">
        <v>1</v>
      </c>
      <c r="D9">
        <v>2</v>
      </c>
      <c r="E9">
        <v>3</v>
      </c>
      <c r="F9">
        <v>4</v>
      </c>
      <c r="G9">
        <v>5</v>
      </c>
    </row>
    <row r="10" spans="1:7" x14ac:dyDescent="0.35">
      <c r="A10" t="s">
        <v>3</v>
      </c>
      <c r="B10" s="3">
        <f>-$B$4</f>
        <v>-1000</v>
      </c>
      <c r="C10" s="3">
        <v>5000</v>
      </c>
    </row>
    <row r="11" spans="1:7" x14ac:dyDescent="0.35">
      <c r="A11" t="s">
        <v>4</v>
      </c>
      <c r="B11" s="3">
        <f>-$B$4</f>
        <v>-1000</v>
      </c>
      <c r="C11" s="3">
        <f>$B$4</f>
        <v>1000</v>
      </c>
      <c r="D11" s="3">
        <f>$B$4</f>
        <v>1000</v>
      </c>
      <c r="E11" s="3">
        <f>$B$4</f>
        <v>1000</v>
      </c>
      <c r="F11" s="3">
        <f>$B$4</f>
        <v>1000</v>
      </c>
      <c r="G11" s="3">
        <f>$B$4</f>
        <v>1000</v>
      </c>
    </row>
    <row r="14" spans="1:7" x14ac:dyDescent="0.35">
      <c r="A14" s="6" t="s">
        <v>3</v>
      </c>
      <c r="B14" s="6"/>
      <c r="D14" s="6" t="s">
        <v>4</v>
      </c>
      <c r="E14" s="6"/>
    </row>
    <row r="15" spans="1:7" x14ac:dyDescent="0.35">
      <c r="A15" t="s">
        <v>5</v>
      </c>
      <c r="B15" s="3">
        <f>NPV(B5,C10:G10)</f>
        <v>4347.826086956522</v>
      </c>
      <c r="D15" t="s">
        <v>5</v>
      </c>
      <c r="E15" s="3">
        <f>NPV(B5,C11:G11)</f>
        <v>3352.1550980114025</v>
      </c>
    </row>
    <row r="16" spans="1:7" x14ac:dyDescent="0.35">
      <c r="A16" t="s">
        <v>6</v>
      </c>
      <c r="B16" s="3">
        <f>B4</f>
        <v>1000</v>
      </c>
      <c r="D16" t="s">
        <v>6</v>
      </c>
      <c r="E16" s="3">
        <f>B4</f>
        <v>1000</v>
      </c>
    </row>
    <row r="17" spans="1:5" x14ac:dyDescent="0.35">
      <c r="A17" t="s">
        <v>7</v>
      </c>
      <c r="B17" s="3">
        <f>B15-B16</f>
        <v>3347.826086956522</v>
      </c>
      <c r="D17" t="s">
        <v>7</v>
      </c>
      <c r="E17" s="3">
        <f>E15-E16</f>
        <v>2352.1550980114025</v>
      </c>
    </row>
    <row r="18" spans="1:5" x14ac:dyDescent="0.35">
      <c r="A18" t="s">
        <v>8</v>
      </c>
      <c r="B18" s="1">
        <f>IRR(B10:C10)</f>
        <v>4.0000000000000009</v>
      </c>
      <c r="D18" t="s">
        <v>8</v>
      </c>
      <c r="E18" s="1">
        <f>IRR(B11:G11)</f>
        <v>0.96594823662601326</v>
      </c>
    </row>
  </sheetData>
  <mergeCells count="3">
    <mergeCell ref="B8:G8"/>
    <mergeCell ref="A14:B14"/>
    <mergeCell ref="D14:E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16AAB-F114-4B1A-B9C5-F50CEC61220E}">
  <dimension ref="A4:J17"/>
  <sheetViews>
    <sheetView workbookViewId="0">
      <selection activeCell="M11" sqref="M11"/>
    </sheetView>
  </sheetViews>
  <sheetFormatPr defaultRowHeight="14.5" x14ac:dyDescent="0.35"/>
  <cols>
    <col min="1" max="1" width="18" customWidth="1"/>
    <col min="2" max="2" width="11.26953125" bestFit="1" customWidth="1"/>
    <col min="3" max="3" width="9.90625" bestFit="1" customWidth="1"/>
    <col min="4" max="4" width="8.81640625" bestFit="1" customWidth="1"/>
    <col min="7" max="7" width="10" bestFit="1" customWidth="1"/>
    <col min="8" max="8" width="8.08984375" bestFit="1" customWidth="1"/>
  </cols>
  <sheetData>
    <row r="4" spans="1:10" x14ac:dyDescent="0.35">
      <c r="A4" t="s">
        <v>10</v>
      </c>
      <c r="B4" s="4">
        <v>1000</v>
      </c>
    </row>
    <row r="5" spans="1:10" x14ac:dyDescent="0.35">
      <c r="A5" t="s">
        <v>1</v>
      </c>
      <c r="B5" s="1">
        <v>0.1</v>
      </c>
    </row>
    <row r="7" spans="1:10" x14ac:dyDescent="0.35">
      <c r="A7" s="7" t="s">
        <v>3</v>
      </c>
      <c r="B7" s="6" t="s">
        <v>11</v>
      </c>
      <c r="C7" s="6"/>
      <c r="D7" s="6"/>
      <c r="G7" s="7" t="s">
        <v>4</v>
      </c>
      <c r="H7" s="6" t="s">
        <v>11</v>
      </c>
      <c r="I7" s="6"/>
      <c r="J7" s="6"/>
    </row>
    <row r="8" spans="1:10" x14ac:dyDescent="0.35">
      <c r="A8" s="7"/>
      <c r="B8">
        <v>0</v>
      </c>
      <c r="C8">
        <v>1</v>
      </c>
      <c r="D8">
        <v>2</v>
      </c>
      <c r="G8" s="7"/>
      <c r="H8">
        <v>0</v>
      </c>
      <c r="I8">
        <v>1</v>
      </c>
      <c r="J8">
        <v>2</v>
      </c>
    </row>
    <row r="9" spans="1:10" x14ac:dyDescent="0.35">
      <c r="A9" t="s">
        <v>12</v>
      </c>
      <c r="B9" s="3">
        <f>-$B$4</f>
        <v>-1000</v>
      </c>
      <c r="C9" s="3">
        <v>1150</v>
      </c>
      <c r="D9" s="3">
        <v>100</v>
      </c>
      <c r="G9" t="s">
        <v>12</v>
      </c>
      <c r="H9" s="3">
        <f>-$B$4</f>
        <v>-1000</v>
      </c>
      <c r="I9" s="3">
        <v>100</v>
      </c>
      <c r="J9" s="3">
        <v>1300</v>
      </c>
    </row>
    <row r="11" spans="1:10" x14ac:dyDescent="0.35">
      <c r="A11" t="s">
        <v>13</v>
      </c>
      <c r="B11" s="3">
        <f>NPV(B5,C9:D9)</f>
        <v>1128.0991735537191</v>
      </c>
      <c r="G11" t="s">
        <v>13</v>
      </c>
      <c r="H11" s="3">
        <f>NPV(B5,I9:J9)</f>
        <v>1165.2892561983469</v>
      </c>
    </row>
    <row r="12" spans="1:10" x14ac:dyDescent="0.35">
      <c r="A12" t="s">
        <v>14</v>
      </c>
      <c r="B12" s="3">
        <f>B4</f>
        <v>1000</v>
      </c>
      <c r="G12" t="s">
        <v>14</v>
      </c>
      <c r="H12" s="3">
        <f>B4</f>
        <v>1000</v>
      </c>
    </row>
    <row r="13" spans="1:10" x14ac:dyDescent="0.35">
      <c r="A13" t="s">
        <v>7</v>
      </c>
      <c r="B13" s="3">
        <f>B11-B12</f>
        <v>128.09917355371908</v>
      </c>
      <c r="G13" t="s">
        <v>7</v>
      </c>
      <c r="H13" s="3">
        <f>H11-H12</f>
        <v>165.28925619834695</v>
      </c>
    </row>
    <row r="15" spans="1:10" x14ac:dyDescent="0.35">
      <c r="A15" t="s">
        <v>8</v>
      </c>
      <c r="B15" s="5">
        <f>IRR(B9:D9)</f>
        <v>0.23122023742033426</v>
      </c>
      <c r="G15" t="s">
        <v>8</v>
      </c>
      <c r="H15" s="5">
        <f>IRR(H9:J9)</f>
        <v>0.19127122105133276</v>
      </c>
    </row>
    <row r="17" spans="1:8" x14ac:dyDescent="0.35">
      <c r="A17" t="s">
        <v>15</v>
      </c>
      <c r="B17" s="5">
        <f>MIRR(B9:D9,$B$5,$B$5)</f>
        <v>0.16833214455479228</v>
      </c>
      <c r="G17" t="s">
        <v>15</v>
      </c>
      <c r="H17" s="5">
        <f>MIRR(H9:J9,$B$5,$B$5)</f>
        <v>0.18743420870379168</v>
      </c>
    </row>
  </sheetData>
  <mergeCells count="4">
    <mergeCell ref="A7:A8"/>
    <mergeCell ref="B7:D7"/>
    <mergeCell ref="G7:G8"/>
    <mergeCell ref="H7:J7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CC317-28F5-4188-A3E1-B4EE35C5ACA9}">
  <dimension ref="A3:G119"/>
  <sheetViews>
    <sheetView tabSelected="1" topLeftCell="A85" workbookViewId="0">
      <selection activeCell="E96" sqref="E96"/>
    </sheetView>
  </sheetViews>
  <sheetFormatPr defaultRowHeight="14.5" x14ac:dyDescent="0.35"/>
  <cols>
    <col min="1" max="1" width="31.26953125" bestFit="1" customWidth="1"/>
    <col min="2" max="3" width="23.453125" bestFit="1" customWidth="1"/>
    <col min="4" max="4" width="25.81640625" customWidth="1"/>
    <col min="5" max="5" width="10.7265625" customWidth="1"/>
    <col min="6" max="6" width="11.453125" customWidth="1"/>
    <col min="7" max="7" width="13.36328125" customWidth="1"/>
  </cols>
  <sheetData>
    <row r="3" spans="1:7" x14ac:dyDescent="0.35">
      <c r="A3" t="s">
        <v>16</v>
      </c>
    </row>
    <row r="4" spans="1:7" x14ac:dyDescent="0.35">
      <c r="A4" t="s">
        <v>17</v>
      </c>
      <c r="B4" s="3">
        <v>150000</v>
      </c>
    </row>
    <row r="6" spans="1:7" x14ac:dyDescent="0.35">
      <c r="A6" t="s">
        <v>18</v>
      </c>
    </row>
    <row r="7" spans="1:7" x14ac:dyDescent="0.35">
      <c r="A7" t="s">
        <v>10</v>
      </c>
      <c r="B7" s="3">
        <v>250000</v>
      </c>
    </row>
    <row r="8" spans="1:7" x14ac:dyDescent="0.35">
      <c r="A8" t="s">
        <v>17</v>
      </c>
      <c r="B8" s="3">
        <v>40000</v>
      </c>
    </row>
    <row r="9" spans="1:7" x14ac:dyDescent="0.35">
      <c r="A9" t="s">
        <v>19</v>
      </c>
      <c r="B9">
        <v>5</v>
      </c>
    </row>
    <row r="10" spans="1:7" x14ac:dyDescent="0.35">
      <c r="A10" t="s">
        <v>20</v>
      </c>
      <c r="B10" s="3">
        <v>50000</v>
      </c>
    </row>
    <row r="11" spans="1:7" x14ac:dyDescent="0.35">
      <c r="A11" t="s">
        <v>1</v>
      </c>
      <c r="B11" s="1">
        <v>0.16</v>
      </c>
    </row>
    <row r="14" spans="1:7" x14ac:dyDescent="0.35">
      <c r="B14" s="6" t="s">
        <v>11</v>
      </c>
      <c r="C14" s="6"/>
      <c r="D14" s="6"/>
      <c r="E14" s="6"/>
      <c r="F14" s="6"/>
      <c r="G14" s="6"/>
    </row>
    <row r="15" spans="1:7" x14ac:dyDescent="0.35">
      <c r="A15" t="s">
        <v>2</v>
      </c>
      <c r="B15">
        <v>0</v>
      </c>
      <c r="C15">
        <v>1</v>
      </c>
      <c r="D15">
        <v>2</v>
      </c>
      <c r="E15">
        <v>3</v>
      </c>
      <c r="F15">
        <v>4</v>
      </c>
      <c r="G15">
        <v>5</v>
      </c>
    </row>
    <row r="16" spans="1:7" x14ac:dyDescent="0.35">
      <c r="A16" t="s">
        <v>21</v>
      </c>
      <c r="B16" s="2">
        <v>0</v>
      </c>
      <c r="C16" s="3">
        <f>-$B$4</f>
        <v>-150000</v>
      </c>
      <c r="D16" s="3">
        <f>-$B$4</f>
        <v>-150000</v>
      </c>
      <c r="E16" s="3">
        <f>-$B$4</f>
        <v>-150000</v>
      </c>
      <c r="F16" s="3">
        <f>-$B$4</f>
        <v>-150000</v>
      </c>
      <c r="G16" s="3">
        <f>-$B$4</f>
        <v>-150000</v>
      </c>
    </row>
    <row r="17" spans="1:7" x14ac:dyDescent="0.35">
      <c r="A17" t="s">
        <v>18</v>
      </c>
      <c r="B17" s="3">
        <f>-$B$7</f>
        <v>-250000</v>
      </c>
      <c r="C17" s="3">
        <f>-$B$8</f>
        <v>-40000</v>
      </c>
      <c r="D17" s="3">
        <f>-$B$8</f>
        <v>-40000</v>
      </c>
      <c r="E17" s="3">
        <f>-$B$8</f>
        <v>-40000</v>
      </c>
      <c r="F17" s="3">
        <f>-$B$8</f>
        <v>-40000</v>
      </c>
      <c r="G17" s="3">
        <f>$B$10-$B$8</f>
        <v>10000</v>
      </c>
    </row>
    <row r="18" spans="1:7" x14ac:dyDescent="0.35">
      <c r="A18" t="s">
        <v>22</v>
      </c>
      <c r="B18" s="3">
        <f t="shared" ref="B18:G18" si="0">B17-B16</f>
        <v>-250000</v>
      </c>
      <c r="C18" s="3">
        <f t="shared" si="0"/>
        <v>110000</v>
      </c>
      <c r="D18" s="3">
        <f t="shared" si="0"/>
        <v>110000</v>
      </c>
      <c r="E18" s="3">
        <f t="shared" si="0"/>
        <v>110000</v>
      </c>
      <c r="F18" s="3">
        <f t="shared" si="0"/>
        <v>110000</v>
      </c>
      <c r="G18" s="3">
        <f t="shared" si="0"/>
        <v>160000</v>
      </c>
    </row>
    <row r="20" spans="1:7" x14ac:dyDescent="0.35">
      <c r="A20" t="s">
        <v>23</v>
      </c>
      <c r="B20" s="3">
        <f>NPV(B11,C18:G18)</f>
        <v>383977.9526734461</v>
      </c>
    </row>
    <row r="21" spans="1:7" x14ac:dyDescent="0.35">
      <c r="A21" t="s">
        <v>24</v>
      </c>
      <c r="B21" s="3">
        <f>B7</f>
        <v>250000</v>
      </c>
    </row>
    <row r="22" spans="1:7" x14ac:dyDescent="0.35">
      <c r="A22" t="s">
        <v>25</v>
      </c>
      <c r="B22" s="3">
        <f>B20-B21</f>
        <v>133977.9526734461</v>
      </c>
    </row>
    <row r="24" spans="1:7" x14ac:dyDescent="0.35">
      <c r="A24" t="s">
        <v>26</v>
      </c>
      <c r="B24" s="1">
        <f>IRR(B18:G18)</f>
        <v>0.36135505144722302</v>
      </c>
    </row>
    <row r="27" spans="1:7" x14ac:dyDescent="0.35">
      <c r="D27" t="s">
        <v>37</v>
      </c>
      <c r="E27" s="1">
        <v>0.18</v>
      </c>
    </row>
    <row r="31" spans="1:7" x14ac:dyDescent="0.35">
      <c r="A31" t="s">
        <v>32</v>
      </c>
    </row>
    <row r="32" spans="1:7" x14ac:dyDescent="0.35">
      <c r="B32" t="s">
        <v>30</v>
      </c>
      <c r="C32" t="s">
        <v>29</v>
      </c>
      <c r="D32" t="s">
        <v>31</v>
      </c>
    </row>
    <row r="33" spans="1:7" x14ac:dyDescent="0.35">
      <c r="A33" t="s">
        <v>27</v>
      </c>
      <c r="B33" s="3">
        <v>500000</v>
      </c>
      <c r="C33" s="3">
        <v>575000</v>
      </c>
      <c r="D33" s="3">
        <v>600000</v>
      </c>
    </row>
    <row r="34" spans="1:7" x14ac:dyDescent="0.35">
      <c r="A34" t="s">
        <v>28</v>
      </c>
      <c r="B34" s="3">
        <v>100000</v>
      </c>
      <c r="C34" s="3">
        <v>80000</v>
      </c>
      <c r="D34" s="3">
        <v>60000</v>
      </c>
    </row>
    <row r="36" spans="1:7" x14ac:dyDescent="0.35">
      <c r="A36" t="s">
        <v>39</v>
      </c>
    </row>
    <row r="38" spans="1:7" x14ac:dyDescent="0.35">
      <c r="B38" s="6" t="s">
        <v>11</v>
      </c>
      <c r="C38" s="6"/>
      <c r="D38" s="6"/>
      <c r="E38" s="6"/>
      <c r="F38" s="6"/>
      <c r="G38" s="6"/>
    </row>
    <row r="39" spans="1:7" x14ac:dyDescent="0.35">
      <c r="A39" t="s">
        <v>33</v>
      </c>
      <c r="B39">
        <v>0</v>
      </c>
      <c r="C39">
        <v>1</v>
      </c>
      <c r="D39">
        <v>2</v>
      </c>
      <c r="E39">
        <v>3</v>
      </c>
      <c r="F39">
        <v>4</v>
      </c>
      <c r="G39">
        <v>5</v>
      </c>
    </row>
    <row r="40" spans="1:7" x14ac:dyDescent="0.35">
      <c r="A40" t="s">
        <v>34</v>
      </c>
      <c r="B40" s="3">
        <f>-$B$33</f>
        <v>-500000</v>
      </c>
      <c r="C40" s="3">
        <f>-$B$34</f>
        <v>-100000</v>
      </c>
      <c r="D40" s="3">
        <f>-$B$34</f>
        <v>-100000</v>
      </c>
      <c r="E40" s="3">
        <f>-$B$34</f>
        <v>-100000</v>
      </c>
      <c r="F40" s="3">
        <f>-$B$34</f>
        <v>-100000</v>
      </c>
      <c r="G40" s="3">
        <f>-$B$34</f>
        <v>-100000</v>
      </c>
    </row>
    <row r="41" spans="1:7" x14ac:dyDescent="0.35">
      <c r="A41" t="s">
        <v>35</v>
      </c>
      <c r="B41" s="3">
        <f>-$C$33</f>
        <v>-575000</v>
      </c>
      <c r="C41" s="3">
        <f>-$C$34</f>
        <v>-80000</v>
      </c>
      <c r="D41" s="3">
        <f>-$C$34</f>
        <v>-80000</v>
      </c>
      <c r="E41" s="3">
        <f>-$C$34</f>
        <v>-80000</v>
      </c>
      <c r="F41" s="3">
        <f>-$C$34</f>
        <v>-80000</v>
      </c>
      <c r="G41" s="3">
        <f>-$C$34</f>
        <v>-80000</v>
      </c>
    </row>
    <row r="42" spans="1:7" x14ac:dyDescent="0.35">
      <c r="A42" t="s">
        <v>22</v>
      </c>
      <c r="B42" s="3">
        <f t="shared" ref="B42:G42" si="1">B41-B40</f>
        <v>-75000</v>
      </c>
      <c r="C42" s="3">
        <f t="shared" si="1"/>
        <v>20000</v>
      </c>
      <c r="D42" s="3">
        <f t="shared" si="1"/>
        <v>20000</v>
      </c>
      <c r="E42" s="3">
        <f t="shared" si="1"/>
        <v>20000</v>
      </c>
      <c r="F42" s="3">
        <f t="shared" si="1"/>
        <v>20000</v>
      </c>
      <c r="G42" s="3">
        <f t="shared" si="1"/>
        <v>20000</v>
      </c>
    </row>
    <row r="44" spans="1:7" x14ac:dyDescent="0.35">
      <c r="A44" t="s">
        <v>41</v>
      </c>
    </row>
    <row r="46" spans="1:7" x14ac:dyDescent="0.35">
      <c r="A46" t="s">
        <v>23</v>
      </c>
      <c r="B46" s="3">
        <f>NPV($E$27,C42:G42)</f>
        <v>62543.420418837952</v>
      </c>
    </row>
    <row r="47" spans="1:7" x14ac:dyDescent="0.35">
      <c r="A47" t="s">
        <v>36</v>
      </c>
      <c r="B47" s="3">
        <f>-B42</f>
        <v>75000</v>
      </c>
    </row>
    <row r="48" spans="1:7" x14ac:dyDescent="0.35">
      <c r="A48" t="s">
        <v>25</v>
      </c>
      <c r="B48" s="3">
        <f>B46-B47</f>
        <v>-12456.579581162048</v>
      </c>
    </row>
    <row r="50" spans="1:7" x14ac:dyDescent="0.35">
      <c r="A50" t="s">
        <v>26</v>
      </c>
      <c r="B50" s="1">
        <f>IRR(B42:G42)</f>
        <v>0.10424844580049752</v>
      </c>
    </row>
    <row r="53" spans="1:7" x14ac:dyDescent="0.35">
      <c r="A53" t="s">
        <v>38</v>
      </c>
    </row>
    <row r="55" spans="1:7" x14ac:dyDescent="0.35">
      <c r="B55" s="6" t="s">
        <v>11</v>
      </c>
      <c r="C55" s="6"/>
      <c r="D55" s="6"/>
      <c r="E55" s="6"/>
      <c r="F55" s="6"/>
      <c r="G55" s="6"/>
    </row>
    <row r="56" spans="1:7" x14ac:dyDescent="0.35">
      <c r="A56" t="s">
        <v>33</v>
      </c>
      <c r="B56">
        <v>0</v>
      </c>
      <c r="C56">
        <v>1</v>
      </c>
      <c r="D56">
        <v>2</v>
      </c>
      <c r="E56">
        <v>3</v>
      </c>
      <c r="F56">
        <v>4</v>
      </c>
      <c r="G56">
        <v>5</v>
      </c>
    </row>
    <row r="57" spans="1:7" x14ac:dyDescent="0.35">
      <c r="A57" t="s">
        <v>34</v>
      </c>
      <c r="B57" s="3">
        <f>-$B$33</f>
        <v>-500000</v>
      </c>
      <c r="C57" s="3">
        <f>-$B$34</f>
        <v>-100000</v>
      </c>
      <c r="D57" s="3">
        <f>-$B$34</f>
        <v>-100000</v>
      </c>
      <c r="E57" s="3">
        <f>-$B$34</f>
        <v>-100000</v>
      </c>
      <c r="F57" s="3">
        <f>-$B$34</f>
        <v>-100000</v>
      </c>
      <c r="G57" s="3">
        <f>-$B$34</f>
        <v>-100000</v>
      </c>
    </row>
    <row r="58" spans="1:7" x14ac:dyDescent="0.35">
      <c r="A58" t="s">
        <v>40</v>
      </c>
      <c r="B58" s="3">
        <f>-D33</f>
        <v>-600000</v>
      </c>
      <c r="C58" s="3">
        <f>-$D$34</f>
        <v>-60000</v>
      </c>
      <c r="D58" s="3">
        <f>-$D$34</f>
        <v>-60000</v>
      </c>
      <c r="E58" s="3">
        <f>-$D$34</f>
        <v>-60000</v>
      </c>
      <c r="F58" s="3">
        <f>-$D$34</f>
        <v>-60000</v>
      </c>
      <c r="G58" s="3">
        <f>-$D$34</f>
        <v>-60000</v>
      </c>
    </row>
    <row r="59" spans="1:7" x14ac:dyDescent="0.35">
      <c r="A59" t="s">
        <v>22</v>
      </c>
      <c r="B59" s="3">
        <f t="shared" ref="B59:G59" si="2">B58-B57</f>
        <v>-100000</v>
      </c>
      <c r="C59" s="3">
        <f t="shared" si="2"/>
        <v>40000</v>
      </c>
      <c r="D59" s="3">
        <f t="shared" si="2"/>
        <v>40000</v>
      </c>
      <c r="E59" s="3">
        <f t="shared" si="2"/>
        <v>40000</v>
      </c>
      <c r="F59" s="3">
        <f t="shared" si="2"/>
        <v>40000</v>
      </c>
      <c r="G59" s="3">
        <f t="shared" si="2"/>
        <v>40000</v>
      </c>
    </row>
    <row r="61" spans="1:7" x14ac:dyDescent="0.35">
      <c r="A61" t="s">
        <v>42</v>
      </c>
    </row>
    <row r="63" spans="1:7" x14ac:dyDescent="0.35">
      <c r="A63" t="s">
        <v>23</v>
      </c>
      <c r="B63" s="3">
        <f>NPV($E$27,C59:G59)</f>
        <v>125086.8408376759</v>
      </c>
    </row>
    <row r="64" spans="1:7" x14ac:dyDescent="0.35">
      <c r="A64" t="s">
        <v>36</v>
      </c>
      <c r="B64" s="3">
        <f>-B59</f>
        <v>100000</v>
      </c>
    </row>
    <row r="65" spans="1:5" x14ac:dyDescent="0.35">
      <c r="A65" t="s">
        <v>25</v>
      </c>
      <c r="B65" s="3">
        <f>B63-B64</f>
        <v>25086.840837675903</v>
      </c>
    </row>
    <row r="67" spans="1:5" x14ac:dyDescent="0.35">
      <c r="A67" t="s">
        <v>26</v>
      </c>
      <c r="B67" s="1">
        <f>IRR(B59:G59)</f>
        <v>0.28649290249767545</v>
      </c>
    </row>
    <row r="71" spans="1:5" x14ac:dyDescent="0.35">
      <c r="A71" t="s">
        <v>47</v>
      </c>
      <c r="B71" t="s">
        <v>46</v>
      </c>
      <c r="C71" s="1">
        <v>0.16</v>
      </c>
    </row>
    <row r="73" spans="1:5" x14ac:dyDescent="0.35">
      <c r="A73" t="s">
        <v>33</v>
      </c>
      <c r="B73">
        <v>0</v>
      </c>
      <c r="C73">
        <v>1</v>
      </c>
      <c r="D73">
        <v>2</v>
      </c>
      <c r="E73">
        <v>3</v>
      </c>
    </row>
    <row r="74" spans="1:5" x14ac:dyDescent="0.35">
      <c r="A74" t="s">
        <v>43</v>
      </c>
      <c r="B74" s="3">
        <v>-1000</v>
      </c>
      <c r="C74" s="3">
        <v>1200</v>
      </c>
      <c r="D74" s="3">
        <v>525</v>
      </c>
      <c r="E74" s="3">
        <v>100</v>
      </c>
    </row>
    <row r="75" spans="1:5" x14ac:dyDescent="0.35">
      <c r="A75" t="s">
        <v>44</v>
      </c>
      <c r="B75" s="3">
        <v>-1000</v>
      </c>
      <c r="C75" s="3">
        <v>100</v>
      </c>
      <c r="D75" s="3">
        <v>525</v>
      </c>
      <c r="E75" s="3">
        <v>1600</v>
      </c>
    </row>
    <row r="76" spans="1:5" x14ac:dyDescent="0.35">
      <c r="A76" t="s">
        <v>22</v>
      </c>
      <c r="B76" s="3">
        <f>B75-B74</f>
        <v>0</v>
      </c>
      <c r="C76" s="3">
        <f>C75-C74</f>
        <v>-1100</v>
      </c>
      <c r="D76" s="3">
        <f>D75-D74</f>
        <v>0</v>
      </c>
      <c r="E76" s="3">
        <f>E75-E74</f>
        <v>1500</v>
      </c>
    </row>
    <row r="78" spans="1:5" x14ac:dyDescent="0.35">
      <c r="A78" s="6" t="s">
        <v>43</v>
      </c>
      <c r="B78" s="6"/>
      <c r="D78" s="6" t="s">
        <v>44</v>
      </c>
      <c r="E78" s="6"/>
    </row>
    <row r="79" spans="1:5" x14ac:dyDescent="0.35">
      <c r="A79" t="s">
        <v>45</v>
      </c>
      <c r="B79" s="3">
        <f>NPV($C$71,C74:E74)</f>
        <v>1488.7090491615072</v>
      </c>
      <c r="D79" t="s">
        <v>45</v>
      </c>
      <c r="E79" s="3">
        <f>NPV($C$71,C75:E75)</f>
        <v>1501.4196974045678</v>
      </c>
    </row>
    <row r="80" spans="1:5" x14ac:dyDescent="0.35">
      <c r="A80" t="s">
        <v>36</v>
      </c>
      <c r="B80" s="3">
        <f>-B74</f>
        <v>1000</v>
      </c>
      <c r="D80" t="s">
        <v>36</v>
      </c>
      <c r="E80" s="3">
        <f>-B75</f>
        <v>1000</v>
      </c>
    </row>
    <row r="81" spans="1:5" x14ac:dyDescent="0.35">
      <c r="A81" t="s">
        <v>25</v>
      </c>
      <c r="B81" s="3">
        <f>B79-B80</f>
        <v>488.70904916150721</v>
      </c>
      <c r="D81" t="s">
        <v>25</v>
      </c>
      <c r="E81" s="3">
        <f>E79-E80</f>
        <v>501.41969740456784</v>
      </c>
    </row>
    <row r="83" spans="1:5" x14ac:dyDescent="0.35">
      <c r="A83" t="s">
        <v>26</v>
      </c>
      <c r="B83" s="1" t="e">
        <f>IRR(F73:G73)</f>
        <v>#NUM!</v>
      </c>
      <c r="D83" t="s">
        <v>26</v>
      </c>
      <c r="E83" s="1">
        <f>IRR(B75:E75)</f>
        <v>0.35651832916332737</v>
      </c>
    </row>
    <row r="84" spans="1:5" x14ac:dyDescent="0.35">
      <c r="A84" t="s">
        <v>15</v>
      </c>
      <c r="B84" s="1">
        <f>MIRR(B74:E74,C71,C71)</f>
        <v>0.32452837136470225</v>
      </c>
      <c r="D84" t="s">
        <v>15</v>
      </c>
      <c r="E84" s="1">
        <f>MIRR(B75:E75,C71,C71)</f>
        <v>0.32828731626327423</v>
      </c>
    </row>
    <row r="98" spans="1:7" x14ac:dyDescent="0.35">
      <c r="A98" t="s">
        <v>16</v>
      </c>
    </row>
    <row r="99" spans="1:7" x14ac:dyDescent="0.35">
      <c r="A99" t="s">
        <v>17</v>
      </c>
      <c r="B99" s="3">
        <v>200000</v>
      </c>
    </row>
    <row r="101" spans="1:7" x14ac:dyDescent="0.35">
      <c r="A101" t="s">
        <v>18</v>
      </c>
    </row>
    <row r="102" spans="1:7" x14ac:dyDescent="0.35">
      <c r="A102" t="s">
        <v>10</v>
      </c>
      <c r="B102" s="3">
        <v>250000</v>
      </c>
    </row>
    <row r="103" spans="1:7" x14ac:dyDescent="0.35">
      <c r="A103" t="s">
        <v>17</v>
      </c>
      <c r="B103" s="3">
        <v>100000</v>
      </c>
    </row>
    <row r="104" spans="1:7" x14ac:dyDescent="0.35">
      <c r="A104" t="s">
        <v>19</v>
      </c>
      <c r="B104">
        <v>5</v>
      </c>
    </row>
    <row r="105" spans="1:7" x14ac:dyDescent="0.35">
      <c r="A105" t="s">
        <v>20</v>
      </c>
      <c r="B105" s="3">
        <v>0</v>
      </c>
    </row>
    <row r="106" spans="1:7" x14ac:dyDescent="0.35">
      <c r="A106" t="s">
        <v>1</v>
      </c>
      <c r="B106" s="1">
        <v>0.16</v>
      </c>
    </row>
    <row r="109" spans="1:7" x14ac:dyDescent="0.35">
      <c r="B109" s="6" t="s">
        <v>11</v>
      </c>
      <c r="C109" s="6"/>
      <c r="D109" s="6"/>
      <c r="E109" s="6"/>
      <c r="F109" s="6"/>
      <c r="G109" s="6"/>
    </row>
    <row r="110" spans="1:7" x14ac:dyDescent="0.35">
      <c r="A110" t="s">
        <v>2</v>
      </c>
      <c r="B110">
        <v>0</v>
      </c>
      <c r="C110">
        <v>1</v>
      </c>
      <c r="D110">
        <v>2</v>
      </c>
      <c r="E110">
        <v>3</v>
      </c>
      <c r="F110">
        <v>4</v>
      </c>
      <c r="G110">
        <v>5</v>
      </c>
    </row>
    <row r="111" spans="1:7" x14ac:dyDescent="0.35">
      <c r="A111" t="s">
        <v>21</v>
      </c>
      <c r="B111" s="2">
        <v>0</v>
      </c>
      <c r="C111" s="3">
        <f>-$B$99</f>
        <v>-200000</v>
      </c>
      <c r="D111" s="3">
        <f>-$B$99</f>
        <v>-200000</v>
      </c>
      <c r="E111" s="3">
        <f>-$B$99</f>
        <v>-200000</v>
      </c>
      <c r="F111" s="3">
        <f>-$B$99</f>
        <v>-200000</v>
      </c>
      <c r="G111" s="3">
        <f>-$B$99</f>
        <v>-200000</v>
      </c>
    </row>
    <row r="112" spans="1:7" x14ac:dyDescent="0.35">
      <c r="A112" t="s">
        <v>18</v>
      </c>
      <c r="B112" s="3">
        <f>-$B$7</f>
        <v>-250000</v>
      </c>
      <c r="C112" s="3">
        <f>-$B$103</f>
        <v>-100000</v>
      </c>
      <c r="D112" s="3">
        <f>-$B$103</f>
        <v>-100000</v>
      </c>
      <c r="E112" s="3">
        <f>-$B$103</f>
        <v>-100000</v>
      </c>
      <c r="F112" s="3">
        <f>-$B$103</f>
        <v>-100000</v>
      </c>
      <c r="G112" s="3">
        <f>-$B$103</f>
        <v>-100000</v>
      </c>
    </row>
    <row r="113" spans="1:7" x14ac:dyDescent="0.35">
      <c r="A113" t="s">
        <v>22</v>
      </c>
      <c r="B113" s="3">
        <f t="shared" ref="B113:G113" si="3">B112-B111</f>
        <v>-250000</v>
      </c>
      <c r="C113" s="3">
        <f t="shared" si="3"/>
        <v>100000</v>
      </c>
      <c r="D113" s="3">
        <f t="shared" si="3"/>
        <v>100000</v>
      </c>
      <c r="E113" s="3">
        <f t="shared" si="3"/>
        <v>100000</v>
      </c>
      <c r="F113" s="3">
        <f t="shared" si="3"/>
        <v>100000</v>
      </c>
      <c r="G113" s="3">
        <f t="shared" si="3"/>
        <v>100000</v>
      </c>
    </row>
    <row r="115" spans="1:7" x14ac:dyDescent="0.35">
      <c r="A115" t="s">
        <v>23</v>
      </c>
      <c r="B115" s="3">
        <f>NPV(B106,C113:G113)</f>
        <v>327429.36536612362</v>
      </c>
    </row>
    <row r="116" spans="1:7" x14ac:dyDescent="0.35">
      <c r="A116" t="s">
        <v>24</v>
      </c>
      <c r="B116" s="3">
        <f>B102</f>
        <v>250000</v>
      </c>
    </row>
    <row r="117" spans="1:7" x14ac:dyDescent="0.35">
      <c r="A117" t="s">
        <v>25</v>
      </c>
      <c r="B117" s="3">
        <f>B115-B116</f>
        <v>77429.365366123617</v>
      </c>
    </row>
    <row r="119" spans="1:7" x14ac:dyDescent="0.35">
      <c r="A119" t="s">
        <v>26</v>
      </c>
      <c r="B119" s="1">
        <f>IRR(B113:G113)</f>
        <v>0.28649290249767567</v>
      </c>
    </row>
  </sheetData>
  <mergeCells count="6">
    <mergeCell ref="B55:G55"/>
    <mergeCell ref="A78:B78"/>
    <mergeCell ref="D78:E78"/>
    <mergeCell ref="B109:G109"/>
    <mergeCell ref="B14:G14"/>
    <mergeCell ref="B38:G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Mutually Exclusice</vt:lpstr>
      <vt:lpstr>MIRR</vt:lpstr>
      <vt:lpstr>Incremental Cash 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 Novrian Ahmad Lbn Gaol</dc:creator>
  <cp:lastModifiedBy>Dani Novrian Ahmad Lbn Gaol</cp:lastModifiedBy>
  <dcterms:created xsi:type="dcterms:W3CDTF">2026-04-16T01:45:20Z</dcterms:created>
  <dcterms:modified xsi:type="dcterms:W3CDTF">2026-04-17T03:41:39Z</dcterms:modified>
</cp:coreProperties>
</file>