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bdil\Downloads\"/>
    </mc:Choice>
  </mc:AlternateContent>
  <xr:revisionPtr revIDLastSave="0" documentId="13_ncr:1_{2BD08B4A-6DC3-489E-9EFC-A9B0021EEE21}" xr6:coauthVersionLast="47" xr6:coauthVersionMax="47" xr10:uidLastSave="{00000000-0000-0000-0000-000000000000}"/>
  <bookViews>
    <workbookView xWindow="-110" yWindow="-110" windowWidth="19420" windowHeight="10300" firstSheet="4" activeTab="4" xr2:uid="{9333ECE6-1504-6649-B470-EC7FB4BE88AE}"/>
  </bookViews>
  <sheets>
    <sheet name="0. The Problem" sheetId="8" r:id="rId1"/>
    <sheet name="1.  Pro Forma Income Statement" sheetId="2" r:id="rId2"/>
    <sheet name="2.  Depreciation" sheetId="3" r:id="rId3"/>
    <sheet name="3.  CF-Operations" sheetId="5" r:id="rId4"/>
    <sheet name="4. CF-NWC" sheetId="4" r:id="rId5"/>
    <sheet name="5. CF-Capital Spending" sheetId="7" r:id="rId6"/>
    <sheet name="6.  Final Analysis-NPV_IRR_PBP" sheetId="6" r:id="rId7"/>
  </sheets>
  <definedNames>
    <definedName name="_xlnm.Print_Area" localSheetId="1">'1.  Pro Forma Income Statement'!$A$1:$K$29</definedName>
    <definedName name="_xlnm.Print_Area" localSheetId="2">'2.  Depreciation'!$A$1:$D$13</definedName>
    <definedName name="_xlnm.Print_Area" localSheetId="3">'3.  CF-Operations'!$A$1:$L$8</definedName>
    <definedName name="_xlnm.Print_Area" localSheetId="4">'4. CF-NWC'!$A$1:$L$10</definedName>
    <definedName name="_xlnm.Print_Area" localSheetId="5">'5. CF-Capital Spending'!$A$1:$L$8</definedName>
    <definedName name="_xlnm.Print_Area" localSheetId="6">'6.  Final Analysis-NPV_IRR_PBP'!$A$1:$L$18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8" i="6" l="1"/>
  <c r="L10" i="4"/>
  <c r="L8" i="4"/>
  <c r="L8" i="6" s="1"/>
  <c r="B8" i="5"/>
  <c r="D13" i="2"/>
  <c r="E13" i="2" s="1"/>
  <c r="F13" i="2" s="1"/>
  <c r="G13" i="2" s="1"/>
  <c r="H13" i="2" s="1"/>
  <c r="I13" i="2" s="1"/>
  <c r="J13" i="2" s="1"/>
  <c r="K13" i="2" s="1"/>
  <c r="C13" i="2"/>
  <c r="C8" i="5"/>
  <c r="C5" i="5"/>
  <c r="B9" i="6"/>
  <c r="B10" i="6" s="1"/>
  <c r="C8" i="6"/>
  <c r="D8" i="6"/>
  <c r="E8" i="6"/>
  <c r="F8" i="6"/>
  <c r="G8" i="6"/>
  <c r="H8" i="6"/>
  <c r="I8" i="6"/>
  <c r="J8" i="6"/>
  <c r="K8" i="6"/>
  <c r="B8" i="6"/>
  <c r="C7" i="6"/>
  <c r="B7" i="6"/>
  <c r="C8" i="7"/>
  <c r="C9" i="6" s="1"/>
  <c r="C10" i="6" s="1"/>
  <c r="D8" i="7"/>
  <c r="D9" i="6" s="1"/>
  <c r="E8" i="7"/>
  <c r="E9" i="6" s="1"/>
  <c r="F8" i="7"/>
  <c r="F9" i="6" s="1"/>
  <c r="G8" i="7"/>
  <c r="G9" i="6" s="1"/>
  <c r="H8" i="7"/>
  <c r="H9" i="6" s="1"/>
  <c r="I8" i="7"/>
  <c r="I9" i="6" s="1"/>
  <c r="J8" i="7"/>
  <c r="J9" i="6" s="1"/>
  <c r="K8" i="7"/>
  <c r="K9" i="6" s="1"/>
  <c r="L8" i="7"/>
  <c r="L9" i="6" s="1"/>
  <c r="B8" i="7"/>
  <c r="L7" i="7"/>
  <c r="B6" i="7"/>
  <c r="C10" i="4"/>
  <c r="D10" i="4"/>
  <c r="E10" i="4"/>
  <c r="F10" i="4"/>
  <c r="G10" i="4"/>
  <c r="H10" i="4"/>
  <c r="I10" i="4"/>
  <c r="J10" i="4"/>
  <c r="K10" i="4"/>
  <c r="B10" i="4"/>
  <c r="L9" i="4"/>
  <c r="D8" i="4"/>
  <c r="E8" i="4"/>
  <c r="F8" i="4"/>
  <c r="G8" i="4"/>
  <c r="H8" i="4"/>
  <c r="I8" i="4"/>
  <c r="J8" i="4"/>
  <c r="K8" i="4"/>
  <c r="C8" i="4"/>
  <c r="B8" i="4"/>
  <c r="D7" i="4"/>
  <c r="E7" i="4"/>
  <c r="F7" i="4"/>
  <c r="G7" i="4"/>
  <c r="H7" i="4"/>
  <c r="I7" i="4"/>
  <c r="J7" i="4"/>
  <c r="K7" i="4"/>
  <c r="L7" i="4"/>
  <c r="C7" i="4"/>
  <c r="D6" i="4"/>
  <c r="E6" i="4"/>
  <c r="F6" i="4"/>
  <c r="G6" i="4"/>
  <c r="H6" i="4"/>
  <c r="I6" i="4"/>
  <c r="J6" i="4"/>
  <c r="K6" i="4"/>
  <c r="L6" i="4"/>
  <c r="C6" i="4"/>
  <c r="C7" i="5"/>
  <c r="D6" i="5"/>
  <c r="E6" i="5"/>
  <c r="F6" i="5"/>
  <c r="G6" i="5"/>
  <c r="H6" i="5"/>
  <c r="I6" i="5"/>
  <c r="J6" i="5"/>
  <c r="C6" i="5"/>
  <c r="B29" i="2"/>
  <c r="B27" i="2"/>
  <c r="B25" i="2"/>
  <c r="C23" i="2"/>
  <c r="D23" i="2"/>
  <c r="E23" i="2"/>
  <c r="F23" i="2"/>
  <c r="G23" i="2"/>
  <c r="H23" i="2"/>
  <c r="I23" i="2"/>
  <c r="J23" i="2"/>
  <c r="K23" i="2"/>
  <c r="B23" i="2"/>
  <c r="I22" i="2"/>
  <c r="H22" i="2"/>
  <c r="G22" i="2"/>
  <c r="F22" i="2"/>
  <c r="E22" i="2"/>
  <c r="D22" i="2"/>
  <c r="C22" i="2"/>
  <c r="B22" i="2"/>
  <c r="D9" i="3"/>
  <c r="D10" i="3"/>
  <c r="D11" i="3"/>
  <c r="D12" i="3"/>
  <c r="D13" i="3"/>
  <c r="D8" i="3"/>
  <c r="D7" i="3"/>
  <c r="D6" i="3"/>
  <c r="C7" i="3"/>
  <c r="C8" i="3"/>
  <c r="C9" i="3"/>
  <c r="C10" i="3"/>
  <c r="C11" i="3"/>
  <c r="C12" i="3"/>
  <c r="C13" i="3"/>
  <c r="C6" i="3"/>
  <c r="B16" i="2"/>
  <c r="C14" i="2"/>
  <c r="C16" i="2" s="1"/>
  <c r="C25" i="2" s="1"/>
  <c r="B14" i="2"/>
  <c r="C10" i="2"/>
  <c r="D10" i="2"/>
  <c r="E10" i="2"/>
  <c r="F10" i="2"/>
  <c r="G10" i="2"/>
  <c r="H10" i="2"/>
  <c r="I10" i="2"/>
  <c r="J10" i="2"/>
  <c r="K10" i="2"/>
  <c r="B10" i="2"/>
  <c r="E9" i="2"/>
  <c r="F9" i="2"/>
  <c r="G9" i="2"/>
  <c r="H9" i="2"/>
  <c r="I9" i="2"/>
  <c r="J9" i="2"/>
  <c r="K9" i="2"/>
  <c r="D9" i="2"/>
  <c r="C9" i="2"/>
  <c r="B9" i="2"/>
  <c r="B11" i="6" l="1"/>
  <c r="B15" i="6"/>
  <c r="C27" i="2"/>
  <c r="D7" i="5" s="1"/>
  <c r="C29" i="2"/>
  <c r="D5" i="5"/>
  <c r="D8" i="5" s="1"/>
  <c r="D7" i="6" s="1"/>
  <c r="D10" i="6" s="1"/>
  <c r="D14" i="2"/>
  <c r="D16" i="2" s="1"/>
  <c r="D25" i="2" s="1"/>
  <c r="C11" i="6"/>
  <c r="D11" i="6" s="1"/>
  <c r="D27" i="2" l="1"/>
  <c r="E7" i="5" s="1"/>
  <c r="D29" i="2"/>
  <c r="E5" i="5"/>
  <c r="E8" i="5" s="1"/>
  <c r="E7" i="6" s="1"/>
  <c r="E10" i="6" s="1"/>
  <c r="E14" i="2"/>
  <c r="E16" i="2" s="1"/>
  <c r="E25" i="2" s="1"/>
  <c r="E11" i="6" l="1"/>
  <c r="F14" i="2"/>
  <c r="F16" i="2" s="1"/>
  <c r="F25" i="2" s="1"/>
  <c r="E27" i="2"/>
  <c r="F7" i="5" s="1"/>
  <c r="E29" i="2"/>
  <c r="F5" i="5"/>
  <c r="F8" i="5" l="1"/>
  <c r="F7" i="6" s="1"/>
  <c r="F10" i="6" s="1"/>
  <c r="F11" i="6" s="1"/>
  <c r="G5" i="5"/>
  <c r="F27" i="2"/>
  <c r="G14" i="2"/>
  <c r="G16" i="2" s="1"/>
  <c r="G25" i="2" s="1"/>
  <c r="G7" i="5" l="1"/>
  <c r="G8" i="5" s="1"/>
  <c r="G7" i="6" s="1"/>
  <c r="G10" i="6" s="1"/>
  <c r="G11" i="6" s="1"/>
  <c r="F29" i="2"/>
  <c r="G27" i="2"/>
  <c r="H5" i="5"/>
  <c r="H14" i="2"/>
  <c r="H16" i="2" s="1"/>
  <c r="H25" i="2" s="1"/>
  <c r="H27" i="2" l="1"/>
  <c r="I7" i="5" s="1"/>
  <c r="H29" i="2"/>
  <c r="I5" i="5"/>
  <c r="I8" i="5" s="1"/>
  <c r="I7" i="6" s="1"/>
  <c r="I10" i="6" s="1"/>
  <c r="I14" i="2"/>
  <c r="I16" i="2" s="1"/>
  <c r="I25" i="2" s="1"/>
  <c r="H7" i="5"/>
  <c r="H8" i="5" s="1"/>
  <c r="H7" i="6" s="1"/>
  <c r="H10" i="6" s="1"/>
  <c r="G29" i="2"/>
  <c r="I27" i="2" l="1"/>
  <c r="J5" i="5"/>
  <c r="J8" i="5" s="1"/>
  <c r="J7" i="6" s="1"/>
  <c r="J10" i="6" s="1"/>
  <c r="J14" i="2"/>
  <c r="J16" i="2" s="1"/>
  <c r="J25" i="2" s="1"/>
  <c r="K14" i="2"/>
  <c r="K16" i="2" s="1"/>
  <c r="K25" i="2" s="1"/>
  <c r="H11" i="6"/>
  <c r="J7" i="5" l="1"/>
  <c r="I29" i="2"/>
  <c r="J27" i="2"/>
  <c r="K5" i="5"/>
  <c r="K27" i="2"/>
  <c r="L5" i="5"/>
  <c r="I11" i="6"/>
  <c r="J11" i="6" s="1"/>
  <c r="K7" i="5" l="1"/>
  <c r="K8" i="5" s="1"/>
  <c r="K7" i="6" s="1"/>
  <c r="K10" i="6" s="1"/>
  <c r="K11" i="6" s="1"/>
  <c r="J29" i="2"/>
  <c r="L7" i="5"/>
  <c r="L8" i="5" s="1"/>
  <c r="L7" i="6" s="1"/>
  <c r="L10" i="6" s="1"/>
  <c r="K29" i="2"/>
  <c r="B17" i="6" l="1"/>
  <c r="L11" i="6"/>
  <c r="B14" i="6"/>
  <c r="B16" i="6" s="1"/>
</calcChain>
</file>

<file path=xl/sharedStrings.xml><?xml version="1.0" encoding="utf-8"?>
<sst xmlns="http://schemas.openxmlformats.org/spreadsheetml/2006/main" count="58" uniqueCount="49">
  <si>
    <t>Year</t>
  </si>
  <si>
    <t>CAPEX</t>
  </si>
  <si>
    <t>NPV:</t>
  </si>
  <si>
    <t>IRR:</t>
  </si>
  <si>
    <t>Discount Rate:</t>
  </si>
  <si>
    <t>Unit Sales:</t>
  </si>
  <si>
    <t>COGS:</t>
  </si>
  <si>
    <t>CAPEX:</t>
  </si>
  <si>
    <t>Tax Rate:</t>
  </si>
  <si>
    <t>Unit Price:</t>
  </si>
  <si>
    <t>Revenues:</t>
  </si>
  <si>
    <t>Gross Profit:</t>
  </si>
  <si>
    <t>Operating Expenses:</t>
  </si>
  <si>
    <t>Depreciation Expense:</t>
  </si>
  <si>
    <t>Engineering</t>
  </si>
  <si>
    <t>Depreciation Expense Calculations</t>
  </si>
  <si>
    <t>MACRS %</t>
  </si>
  <si>
    <t>Depreciation</t>
  </si>
  <si>
    <t>Book Value</t>
  </si>
  <si>
    <t>Operating Income (EBIT):</t>
  </si>
  <si>
    <t>Total Operating Expenses:</t>
  </si>
  <si>
    <t>Taxes (@21%)</t>
  </si>
  <si>
    <t>Net Income:</t>
  </si>
  <si>
    <t>EBIT</t>
  </si>
  <si>
    <t>+ Depreciation</t>
  </si>
  <si>
    <t>- Taxes</t>
  </si>
  <si>
    <t>Total Project Cash Flow:</t>
  </si>
  <si>
    <t>Initial Investment (Cash Flow):</t>
  </si>
  <si>
    <t>Cash Flows from Operations:</t>
  </si>
  <si>
    <r>
      <t xml:space="preserve">Cash Flow from </t>
    </r>
    <r>
      <rPr>
        <sz val="12"/>
        <color theme="1"/>
        <rFont val="Symbol"/>
        <charset val="2"/>
      </rPr>
      <t>D</t>
    </r>
    <r>
      <rPr>
        <sz val="12"/>
        <color theme="1"/>
        <rFont val="Calibri"/>
        <family val="2"/>
        <scheme val="minor"/>
      </rPr>
      <t>NWC</t>
    </r>
  </si>
  <si>
    <t>Cash Flows from Capital Spending:</t>
  </si>
  <si>
    <t>Unit Cost</t>
  </si>
  <si>
    <t>Legal (IP)</t>
  </si>
  <si>
    <t>Marketing &amp; Sales</t>
  </si>
  <si>
    <t>Cash Flow from Operations</t>
  </si>
  <si>
    <t xml:space="preserve">Cash Flow due to Capital Spending </t>
  </si>
  <si>
    <t>Project Pro Forma Cash Flows</t>
  </si>
  <si>
    <r>
      <rPr>
        <b/>
        <sz val="12"/>
        <color theme="1"/>
        <rFont val="Calibri (Body)"/>
      </rPr>
      <t xml:space="preserve">Cash Flows from </t>
    </r>
    <r>
      <rPr>
        <b/>
        <sz val="12"/>
        <color theme="1"/>
        <rFont val="Symbol"/>
        <charset val="2"/>
      </rPr>
      <t>D</t>
    </r>
    <r>
      <rPr>
        <b/>
        <sz val="12"/>
        <color theme="1"/>
        <rFont val="Calibri"/>
        <family val="2"/>
        <scheme val="minor"/>
      </rPr>
      <t>NWC</t>
    </r>
  </si>
  <si>
    <t>PV (Year 1-10):</t>
  </si>
  <si>
    <t>Simple Payback Period (years):</t>
  </si>
  <si>
    <t>NWC (Inventory, end of year)</t>
  </si>
  <si>
    <r>
      <rPr>
        <sz val="12"/>
        <color theme="1"/>
        <rFont val="Symbol"/>
        <charset val="2"/>
      </rPr>
      <t>D</t>
    </r>
    <r>
      <rPr>
        <sz val="12"/>
        <color theme="1"/>
        <rFont val="Calibri"/>
        <family val="2"/>
        <scheme val="minor"/>
      </rPr>
      <t>NWC</t>
    </r>
  </si>
  <si>
    <t>After-Tax Salvage Value</t>
  </si>
  <si>
    <t>NWC Recovery</t>
  </si>
  <si>
    <t>Cumulative Project Cash Flows:</t>
  </si>
  <si>
    <t>Cash Flows from Capital Spending</t>
  </si>
  <si>
    <t>Cash Flows from Operations</t>
  </si>
  <si>
    <t>Advanced Hip Replacement Implant Technology Pro Forma</t>
  </si>
  <si>
    <t xml:space="preserve">Cash Flow due to Change in Net Working Capital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</si>
</sst>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6" formatCode="_(* #,##0.00_);_(* \(#,##0.00\);_(* &quot;-&quot;??_);_(@_)"/>
    <numFmt numFmtId="167" formatCode="&quot;$&quot;#,##0"/>
    <numFmt numFmtId="168" formatCode="_(* #,##0_);_(* \(#,##0\);_(* &quot;-&quot;??_);_(@_)"/>
    <numFmt numFmtId="169" formatCode="0.0"/>
    <numFmt numFmtId="170" formatCode="0.0%"/>
    <numFmt numFmtId="172" formatCode="&quot;$&quot;#,##0.00"/>
  </numFmts>
  <fonts count="11">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2"/>
      <color rgb="FF0070C0"/>
      <name val="Calibri"/>
      <family val="2"/>
      <scheme val="minor"/>
    </font>
    <font>
      <sz val="12"/>
      <color theme="1"/>
      <name val="Symbol"/>
      <charset val="2"/>
    </font>
    <font>
      <b/>
      <sz val="12"/>
      <color theme="1"/>
      <name val="Symbol"/>
      <charset val="2"/>
    </font>
    <font>
      <b/>
      <sz val="12"/>
      <color theme="1"/>
      <name val="Calibri"/>
      <family val="2"/>
      <charset val="2"/>
      <scheme val="minor"/>
    </font>
    <font>
      <b/>
      <sz val="12"/>
      <color theme="1"/>
      <name val="Calibri (Body)"/>
    </font>
    <font>
      <b/>
      <sz val="12"/>
      <color theme="4"/>
      <name val="Calibri"/>
      <family val="2"/>
      <scheme val="minor"/>
    </font>
    <font>
      <sz val="12"/>
      <color theme="1"/>
      <name val="Calibri"/>
      <family val="2"/>
      <charset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166" fontId="1" fillId="0" borderId="0" applyFont="0" applyFill="0" applyBorder="0" applyAlignment="0" applyProtection="0"/>
  </cellStyleXfs>
  <cellXfs count="49">
    <xf numFmtId="0" fontId="0" fillId="0" borderId="0" xfId="0"/>
    <xf numFmtId="0" fontId="2" fillId="2" borderId="1" xfId="0" applyFont="1" applyFill="1" applyBorder="1" applyAlignment="1">
      <alignment horizontal="right" vertical="center"/>
    </xf>
    <xf numFmtId="168" fontId="0" fillId="0" borderId="0" xfId="2" applyNumberFormat="1" applyFont="1"/>
    <xf numFmtId="164"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0" fontId="2" fillId="0" borderId="0" xfId="0" applyFont="1"/>
    <xf numFmtId="0" fontId="2" fillId="0" borderId="0" xfId="0" applyFont="1" applyAlignment="1">
      <alignment horizontal="left"/>
    </xf>
    <xf numFmtId="9" fontId="4" fillId="0" borderId="0" xfId="1" applyFont="1" applyAlignment="1">
      <alignment horizontal="center"/>
    </xf>
    <xf numFmtId="0" fontId="3" fillId="0" borderId="0" xfId="0" applyFont="1"/>
    <xf numFmtId="0" fontId="2" fillId="3" borderId="0" xfId="0" applyFont="1" applyFill="1"/>
    <xf numFmtId="167" fontId="0" fillId="0" borderId="0" xfId="0" applyNumberFormat="1"/>
    <xf numFmtId="167" fontId="4" fillId="0" borderId="0" xfId="0" applyNumberFormat="1" applyFont="1"/>
    <xf numFmtId="167" fontId="0" fillId="0" borderId="0" xfId="0" applyNumberFormat="1" applyAlignment="1">
      <alignment horizontal="right"/>
    </xf>
    <xf numFmtId="0" fontId="2" fillId="2" borderId="0" xfId="0" applyFont="1" applyFill="1" applyAlignment="1">
      <alignment horizontal="left" indent="1"/>
    </xf>
    <xf numFmtId="167" fontId="2" fillId="2" borderId="0" xfId="0" applyNumberFormat="1" applyFont="1" applyFill="1"/>
    <xf numFmtId="0" fontId="2" fillId="2" borderId="0" xfId="0" applyFont="1" applyFill="1"/>
    <xf numFmtId="164" fontId="2" fillId="2" borderId="0" xfId="0" applyNumberFormat="1" applyFont="1" applyFill="1"/>
    <xf numFmtId="0" fontId="2" fillId="2" borderId="0" xfId="0" applyFont="1" applyFill="1" applyAlignment="1">
      <alignment horizontal="left"/>
    </xf>
    <xf numFmtId="0" fontId="2" fillId="0" borderId="0" xfId="0" applyFont="1" applyAlignment="1">
      <alignment horizontal="center"/>
    </xf>
    <xf numFmtId="0" fontId="2" fillId="0" borderId="0" xfId="0" applyFont="1" applyAlignment="1">
      <alignment horizontal="right"/>
    </xf>
    <xf numFmtId="0" fontId="0" fillId="0" borderId="0" xfId="0" quotePrefix="1" applyAlignment="1">
      <alignment horizontal="left" indent="1"/>
    </xf>
    <xf numFmtId="167" fontId="0" fillId="0" borderId="0" xfId="2" applyNumberFormat="1" applyFont="1"/>
    <xf numFmtId="0" fontId="0" fillId="0" borderId="0" xfId="0" applyAlignment="1">
      <alignment vertical="center"/>
    </xf>
    <xf numFmtId="0" fontId="2" fillId="3" borderId="1" xfId="0" applyFont="1" applyFill="1" applyBorder="1" applyAlignment="1">
      <alignment vertical="center"/>
    </xf>
    <xf numFmtId="0" fontId="0" fillId="0" borderId="1" xfId="0" applyBorder="1" applyAlignment="1">
      <alignment vertical="center"/>
    </xf>
    <xf numFmtId="167" fontId="0" fillId="0" borderId="1" xfId="0" applyNumberFormat="1" applyBorder="1" applyAlignment="1">
      <alignment vertical="center"/>
    </xf>
    <xf numFmtId="167" fontId="2" fillId="3" borderId="1" xfId="0" applyNumberFormat="1" applyFont="1" applyFill="1" applyBorder="1" applyAlignment="1">
      <alignment vertical="center"/>
    </xf>
    <xf numFmtId="0" fontId="0" fillId="2" borderId="1" xfId="0" applyFill="1" applyBorder="1" applyAlignment="1">
      <alignment horizontal="right" vertical="center"/>
    </xf>
    <xf numFmtId="167" fontId="0" fillId="2" borderId="1" xfId="0" applyNumberFormat="1" applyFill="1" applyBorder="1" applyAlignment="1">
      <alignment vertical="center"/>
    </xf>
    <xf numFmtId="170" fontId="2" fillId="2" borderId="1" xfId="0" applyNumberFormat="1" applyFont="1" applyFill="1" applyBorder="1" applyAlignment="1">
      <alignment vertical="center"/>
    </xf>
    <xf numFmtId="169" fontId="2" fillId="2" borderId="1" xfId="0" applyNumberFormat="1" applyFont="1" applyFill="1" applyBorder="1" applyAlignment="1">
      <alignment vertical="center"/>
    </xf>
    <xf numFmtId="0" fontId="2" fillId="0" borderId="0" xfId="0" applyFont="1" applyAlignment="1">
      <alignment vertical="center"/>
    </xf>
    <xf numFmtId="0" fontId="7" fillId="2" borderId="0" xfId="0" applyFont="1" applyFill="1"/>
    <xf numFmtId="167" fontId="0" fillId="0" borderId="0" xfId="0" applyNumberFormat="1" applyAlignment="1">
      <alignment vertical="center"/>
    </xf>
    <xf numFmtId="9" fontId="9" fillId="0" borderId="0" xfId="1" applyFont="1" applyAlignment="1">
      <alignment vertical="center"/>
    </xf>
    <xf numFmtId="0" fontId="10" fillId="0" borderId="0" xfId="0" applyFont="1"/>
    <xf numFmtId="0" fontId="0" fillId="0" borderId="2" xfId="0" applyBorder="1"/>
    <xf numFmtId="167" fontId="0" fillId="0" borderId="2" xfId="2" applyNumberFormat="1" applyFont="1" applyBorder="1"/>
    <xf numFmtId="0" fontId="2" fillId="2" borderId="4" xfId="0" applyFont="1" applyFill="1" applyBorder="1" applyAlignment="1">
      <alignment horizontal="right" vertical="center"/>
    </xf>
    <xf numFmtId="167" fontId="2" fillId="2" borderId="4" xfId="0" applyNumberFormat="1" applyFont="1" applyFill="1" applyBorder="1" applyAlignment="1">
      <alignment vertical="center"/>
    </xf>
    <xf numFmtId="0" fontId="0" fillId="2" borderId="3" xfId="0" applyFill="1" applyBorder="1" applyAlignment="1">
      <alignment horizontal="right" vertical="center"/>
    </xf>
    <xf numFmtId="167" fontId="0" fillId="2" borderId="3" xfId="0" applyNumberFormat="1" applyFill="1" applyBorder="1" applyAlignment="1">
      <alignment vertical="center"/>
    </xf>
    <xf numFmtId="0" fontId="0" fillId="4" borderId="1" xfId="0" applyFill="1" applyBorder="1" applyAlignment="1">
      <alignment vertical="center"/>
    </xf>
    <xf numFmtId="167" fontId="0" fillId="4" borderId="1" xfId="0" applyNumberFormat="1" applyFill="1" applyBorder="1" applyAlignment="1">
      <alignment vertical="center"/>
    </xf>
    <xf numFmtId="172" fontId="0" fillId="0" borderId="0" xfId="0" applyNumberFormat="1"/>
    <xf numFmtId="0" fontId="2" fillId="3" borderId="1" xfId="0" applyFont="1" applyFill="1" applyBorder="1" applyAlignment="1">
      <alignment horizontal="center" vertical="center"/>
    </xf>
    <xf numFmtId="164" fontId="2" fillId="3" borderId="0" xfId="0" applyNumberFormat="1" applyFont="1" applyFill="1" applyAlignment="1">
      <alignment horizontal="center"/>
    </xf>
    <xf numFmtId="0" fontId="2" fillId="3" borderId="0" xfId="0" applyFont="1" applyFill="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63500</xdr:rowOff>
    </xdr:from>
    <xdr:to>
      <xdr:col>10</xdr:col>
      <xdr:colOff>25400</xdr:colOff>
      <xdr:row>38</xdr:row>
      <xdr:rowOff>190500</xdr:rowOff>
    </xdr:to>
    <xdr:sp macro="" textlink="">
      <xdr:nvSpPr>
        <xdr:cNvPr id="2" name="Rectangle 1">
          <a:extLst>
            <a:ext uri="{FF2B5EF4-FFF2-40B4-BE49-F238E27FC236}">
              <a16:creationId xmlns:a16="http://schemas.microsoft.com/office/drawing/2014/main" id="{C7CB809A-F21E-2F51-CB3F-355B988C56C4}"/>
            </a:ext>
          </a:extLst>
        </xdr:cNvPr>
        <xdr:cNvSpPr/>
      </xdr:nvSpPr>
      <xdr:spPr>
        <a:xfrm>
          <a:off x="57150" y="63500"/>
          <a:ext cx="6572250" cy="76073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D" sz="1100" b="1" i="0">
              <a:solidFill>
                <a:schemeClr val="dk1"/>
              </a:solidFill>
              <a:effectLst/>
              <a:latin typeface="+mn-lt"/>
              <a:ea typeface="+mn-ea"/>
              <a:cs typeface="+mn-cs"/>
            </a:rPr>
            <a:t>OBJECTIVE</a:t>
          </a:r>
          <a:r>
            <a:rPr lang="en-ID" sz="1100" b="0" i="0">
              <a:solidFill>
                <a:schemeClr val="dk1"/>
              </a:solidFill>
              <a:effectLst/>
              <a:latin typeface="+mn-lt"/>
              <a:ea typeface="+mn-ea"/>
              <a:cs typeface="+mn-cs"/>
            </a:rPr>
            <a:t>: The objective for this project is to prepare a project pro forma spreadsheet that in all likelihood is very similar to what you would create for an engineering proposal for your company. </a:t>
          </a:r>
        </a:p>
        <a:p>
          <a:r>
            <a:rPr lang="en-ID" sz="1100" b="1" i="0">
              <a:solidFill>
                <a:schemeClr val="dk1"/>
              </a:solidFill>
              <a:effectLst/>
              <a:latin typeface="+mn-lt"/>
              <a:ea typeface="+mn-ea"/>
              <a:cs typeface="+mn-cs"/>
            </a:rPr>
            <a:t>THE SCENARIO: </a:t>
          </a:r>
          <a:endParaRPr lang="en-ID" sz="1100" b="0" i="0">
            <a:solidFill>
              <a:schemeClr val="dk1"/>
            </a:solidFill>
            <a:effectLst/>
            <a:latin typeface="+mn-lt"/>
            <a:ea typeface="+mn-ea"/>
            <a:cs typeface="+mn-cs"/>
          </a:endParaRPr>
        </a:p>
        <a:p>
          <a:r>
            <a:rPr lang="en-ID" sz="1100" b="0" i="0">
              <a:solidFill>
                <a:schemeClr val="dk1"/>
              </a:solidFill>
              <a:effectLst/>
              <a:latin typeface="+mn-lt"/>
              <a:ea typeface="+mn-ea"/>
              <a:cs typeface="+mn-cs"/>
            </a:rPr>
            <a:t>You lead the product development effort in your company for producing the next-generation ceramic-titanium- polymer hip replacement system. Your engineering team has developed new materials and processing technology that has demonstrated improved outcomes for patients and therefore has great potential in the healthcare market. You have also worked with the Marketing Department to estimate the sales volumes for the next 10 years (because large companies want 10-year forecasts). However, implementing the project requires a significant investment by the company in manufacturing equipment, continued engineering, legal (for patent applications and ongoing support), as well as all the marketing and sales efforts necessary to reach your revenue goals. </a:t>
          </a:r>
        </a:p>
        <a:p>
          <a:r>
            <a:rPr lang="en-ID" sz="1100" b="0" i="0">
              <a:solidFill>
                <a:schemeClr val="dk1"/>
              </a:solidFill>
              <a:effectLst/>
              <a:latin typeface="+mn-lt"/>
              <a:ea typeface="+mn-ea"/>
              <a:cs typeface="+mn-cs"/>
            </a:rPr>
            <a:t>After spending the last 12 months as the Product Manager for this project, you now have the following financial information necessary to assemble the business case for your proposal to the Executive Office: </a:t>
          </a:r>
        </a:p>
        <a:p>
          <a:r>
            <a:rPr lang="en-ID" sz="1100" b="0" i="0">
              <a:solidFill>
                <a:schemeClr val="dk1"/>
              </a:solidFill>
              <a:effectLst/>
              <a:latin typeface="+mn-lt"/>
              <a:ea typeface="+mn-ea"/>
              <a:cs typeface="+mn-cs"/>
            </a:rPr>
            <a:t>Analysis Period: 10 years</a:t>
          </a:r>
        </a:p>
        <a:p>
          <a:r>
            <a:rPr lang="en-ID" sz="1100" b="0" i="0">
              <a:solidFill>
                <a:schemeClr val="dk1"/>
              </a:solidFill>
              <a:effectLst/>
              <a:latin typeface="+mn-lt"/>
              <a:ea typeface="+mn-ea"/>
              <a:cs typeface="+mn-cs"/>
            </a:rPr>
            <a:t>Price: $5,000 per unit (for the hip replacement system)</a:t>
          </a:r>
        </a:p>
        <a:p>
          <a:r>
            <a:rPr lang="en-ID" sz="1100" b="0" i="0">
              <a:solidFill>
                <a:schemeClr val="dk1"/>
              </a:solidFill>
              <a:effectLst/>
              <a:latin typeface="+mn-lt"/>
              <a:ea typeface="+mn-ea"/>
              <a:cs typeface="+mn-cs"/>
            </a:rPr>
            <a:t>Sales Volume: 5000 in Year 1, increasing by 10% each year thereafter because of a great sales team </a:t>
          </a:r>
        </a:p>
        <a:p>
          <a:r>
            <a:rPr lang="en-ID" sz="1100" b="0" i="0">
              <a:solidFill>
                <a:schemeClr val="dk1"/>
              </a:solidFill>
              <a:effectLst/>
              <a:latin typeface="+mn-lt"/>
              <a:ea typeface="+mn-ea"/>
              <a:cs typeface="+mn-cs"/>
            </a:rPr>
            <a:t>Cost: $3000 per unit in Year 1, decreasing 2% per year thereafter due to engineering cost reductions </a:t>
          </a:r>
        </a:p>
        <a:p>
          <a:r>
            <a:rPr lang="en-ID" sz="1100" b="0" i="0">
              <a:solidFill>
                <a:schemeClr val="dk1"/>
              </a:solidFill>
              <a:effectLst/>
              <a:latin typeface="+mn-lt"/>
              <a:ea typeface="+mn-ea"/>
              <a:cs typeface="+mn-cs"/>
            </a:rPr>
            <a:t>Engineering Costs:</a:t>
          </a:r>
        </a:p>
        <a:p>
          <a:pPr lvl="1"/>
          <a:r>
            <a:rPr lang="en-ID" sz="1100" b="0" i="0">
              <a:solidFill>
                <a:schemeClr val="dk1"/>
              </a:solidFill>
              <a:effectLst/>
              <a:latin typeface="+mn-lt"/>
              <a:ea typeface="+mn-ea"/>
              <a:cs typeface="+mn-cs"/>
            </a:rPr>
            <a:t>Years 1-3: $1,500,000 per year </a:t>
          </a:r>
        </a:p>
        <a:p>
          <a:pPr lvl="1"/>
          <a:r>
            <a:rPr lang="en-ID" sz="1100" b="0" i="0">
              <a:solidFill>
                <a:schemeClr val="dk1"/>
              </a:solidFill>
              <a:effectLst/>
              <a:latin typeface="+mn-lt"/>
              <a:ea typeface="+mn-ea"/>
              <a:cs typeface="+mn-cs"/>
            </a:rPr>
            <a:t>Years 4-6: $1,000,000 per year </a:t>
          </a:r>
        </a:p>
        <a:p>
          <a:pPr lvl="1"/>
          <a:r>
            <a:rPr lang="en-ID" sz="1100" b="0" i="0">
              <a:solidFill>
                <a:schemeClr val="dk1"/>
              </a:solidFill>
              <a:effectLst/>
              <a:latin typeface="+mn-lt"/>
              <a:ea typeface="+mn-ea"/>
              <a:cs typeface="+mn-cs"/>
            </a:rPr>
            <a:t>Years 7-10: $500,000 per year </a:t>
          </a:r>
        </a:p>
        <a:p>
          <a:r>
            <a:rPr lang="en-ID" sz="1100" b="0" i="0">
              <a:solidFill>
                <a:schemeClr val="dk1"/>
              </a:solidFill>
              <a:effectLst/>
              <a:latin typeface="+mn-lt"/>
              <a:ea typeface="+mn-ea"/>
              <a:cs typeface="+mn-cs"/>
            </a:rPr>
            <a:t>Marketing &amp; Sales Expense: $1,000,000 per year for the entire analysis period </a:t>
          </a:r>
        </a:p>
        <a:p>
          <a:r>
            <a:rPr lang="en-ID" sz="1100" b="0" i="0">
              <a:solidFill>
                <a:schemeClr val="dk1"/>
              </a:solidFill>
              <a:effectLst/>
              <a:latin typeface="+mn-lt"/>
              <a:ea typeface="+mn-ea"/>
              <a:cs typeface="+mn-cs"/>
            </a:rPr>
            <a:t>Legal Expenses: </a:t>
          </a:r>
        </a:p>
        <a:p>
          <a:pPr lvl="1"/>
          <a:r>
            <a:rPr lang="en-ID" sz="1100" b="0" i="0">
              <a:solidFill>
                <a:schemeClr val="dk1"/>
              </a:solidFill>
              <a:effectLst/>
              <a:latin typeface="+mn-lt"/>
              <a:ea typeface="+mn-ea"/>
              <a:cs typeface="+mn-cs"/>
            </a:rPr>
            <a:t>Years 1-2: $250,000 per year </a:t>
          </a:r>
        </a:p>
        <a:p>
          <a:pPr lvl="1"/>
          <a:r>
            <a:rPr lang="en-ID" sz="1100" b="0" i="0">
              <a:solidFill>
                <a:schemeClr val="dk1"/>
              </a:solidFill>
              <a:effectLst/>
              <a:latin typeface="+mn-lt"/>
              <a:ea typeface="+mn-ea"/>
              <a:cs typeface="+mn-cs"/>
            </a:rPr>
            <a:t>Years 3-10: $100,000 per year </a:t>
          </a:r>
        </a:p>
        <a:p>
          <a:r>
            <a:rPr lang="en-ID" sz="1100" b="0" i="0">
              <a:solidFill>
                <a:schemeClr val="dk1"/>
              </a:solidFill>
              <a:effectLst/>
              <a:latin typeface="+mn-lt"/>
              <a:ea typeface="+mn-ea"/>
              <a:cs typeface="+mn-cs"/>
            </a:rPr>
            <a:t>Inventory: </a:t>
          </a:r>
        </a:p>
        <a:p>
          <a:pPr lvl="1"/>
          <a:r>
            <a:rPr lang="en-ID" sz="1100" b="0" i="0">
              <a:solidFill>
                <a:schemeClr val="dk1"/>
              </a:solidFill>
              <a:effectLst/>
              <a:latin typeface="+mn-lt"/>
              <a:ea typeface="+mn-ea"/>
              <a:cs typeface="+mn-cs"/>
            </a:rPr>
            <a:t>Starting Inventory Investment at Time = 0: $2,500,000</a:t>
          </a:r>
        </a:p>
        <a:p>
          <a:pPr lvl="1"/>
          <a:r>
            <a:rPr lang="en-ID" sz="1100" b="0" i="0">
              <a:solidFill>
                <a:schemeClr val="dk1"/>
              </a:solidFill>
              <a:effectLst/>
              <a:latin typeface="+mn-lt"/>
              <a:ea typeface="+mn-ea"/>
              <a:cs typeface="+mn-cs"/>
            </a:rPr>
            <a:t>Inventory in Years 1-10 (end of year values): 15% of sales </a:t>
          </a:r>
        </a:p>
        <a:p>
          <a:pPr lvl="1"/>
          <a:r>
            <a:rPr lang="en-ID" sz="1100" b="0" i="0">
              <a:solidFill>
                <a:schemeClr val="dk1"/>
              </a:solidFill>
              <a:effectLst/>
              <a:latin typeface="+mn-lt"/>
              <a:ea typeface="+mn-ea"/>
              <a:cs typeface="+mn-cs"/>
            </a:rPr>
            <a:t>Inventory remaining at the end of the 10 years will be sold at its inventory value.</a:t>
          </a:r>
        </a:p>
        <a:p>
          <a:r>
            <a:rPr lang="en-ID" sz="1100" b="0" i="0">
              <a:solidFill>
                <a:schemeClr val="dk1"/>
              </a:solidFill>
              <a:effectLst/>
              <a:latin typeface="+mn-lt"/>
              <a:ea typeface="+mn-ea"/>
              <a:cs typeface="+mn-cs"/>
            </a:rPr>
            <a:t>CAPEX: $20,000,000 for the manufacturing equipment (including all shipping &amp; installation costs) </a:t>
          </a:r>
        </a:p>
        <a:p>
          <a:r>
            <a:rPr lang="en-ID" sz="1100" b="0" i="0">
              <a:solidFill>
                <a:schemeClr val="dk1"/>
              </a:solidFill>
              <a:effectLst/>
              <a:latin typeface="+mn-lt"/>
              <a:ea typeface="+mn-ea"/>
              <a:cs typeface="+mn-cs"/>
            </a:rPr>
            <a:t>Salvage Value:  $2,000,000</a:t>
          </a:r>
        </a:p>
        <a:p>
          <a:r>
            <a:rPr lang="en-ID" sz="1100" b="0" i="0">
              <a:solidFill>
                <a:schemeClr val="dk1"/>
              </a:solidFill>
              <a:effectLst/>
              <a:latin typeface="+mn-lt"/>
              <a:ea typeface="+mn-ea"/>
              <a:cs typeface="+mn-cs"/>
            </a:rPr>
            <a:t>MACRS Depreciation Schedule: 7-Year Recovery Period (see Excel template for values) </a:t>
          </a:r>
        </a:p>
        <a:p>
          <a:r>
            <a:rPr lang="en-ID" sz="1100" b="0" i="0">
              <a:solidFill>
                <a:schemeClr val="dk1"/>
              </a:solidFill>
              <a:effectLst/>
              <a:latin typeface="+mn-lt"/>
              <a:ea typeface="+mn-ea"/>
              <a:cs typeface="+mn-cs"/>
            </a:rPr>
            <a:t>Corporate Tax Rate: 21% </a:t>
          </a:r>
        </a:p>
        <a:p>
          <a:r>
            <a:rPr lang="en-ID" sz="1100" b="0" i="0">
              <a:solidFill>
                <a:schemeClr val="dk1"/>
              </a:solidFill>
              <a:effectLst/>
              <a:latin typeface="+mn-lt"/>
              <a:ea typeface="+mn-ea"/>
              <a:cs typeface="+mn-cs"/>
            </a:rPr>
            <a:t>Corporate Discount Rate: 18% </a:t>
          </a:r>
        </a:p>
        <a:p>
          <a:r>
            <a:rPr lang="en-ID" sz="1100" b="1" i="0">
              <a:solidFill>
                <a:schemeClr val="dk1"/>
              </a:solidFill>
              <a:effectLst/>
              <a:latin typeface="+mn-lt"/>
              <a:ea typeface="+mn-ea"/>
              <a:cs typeface="+mn-cs"/>
            </a:rPr>
            <a:t>THE ASSIGNMENT: </a:t>
          </a:r>
          <a:endParaRPr lang="en-ID" sz="1100" b="0" i="0">
            <a:solidFill>
              <a:schemeClr val="dk1"/>
            </a:solidFill>
            <a:effectLst/>
            <a:latin typeface="+mn-lt"/>
            <a:ea typeface="+mn-ea"/>
            <a:cs typeface="+mn-cs"/>
          </a:endParaRPr>
        </a:p>
        <a:p>
          <a:r>
            <a:rPr lang="en-ID" sz="1100" b="0" i="0">
              <a:solidFill>
                <a:schemeClr val="dk1"/>
              </a:solidFill>
              <a:effectLst/>
              <a:latin typeface="+mn-lt"/>
              <a:ea typeface="+mn-ea"/>
              <a:cs typeface="+mn-cs"/>
            </a:rPr>
            <a:t>Using the Excel template provided (because the Finance Department has already created a template for you), build an Excel workbook that has 6 different worksheets showing the following information: </a:t>
          </a:r>
        </a:p>
        <a:p>
          <a:r>
            <a:rPr lang="en-ID" sz="1100" b="0" i="0">
              <a:solidFill>
                <a:schemeClr val="dk1"/>
              </a:solidFill>
              <a:effectLst/>
              <a:latin typeface="+mn-lt"/>
              <a:ea typeface="+mn-ea"/>
              <a:cs typeface="+mn-cs"/>
            </a:rPr>
            <a:t>The pro forma Income Statement </a:t>
          </a:r>
        </a:p>
        <a:p>
          <a:r>
            <a:rPr lang="en-ID" sz="1100" b="0" i="0">
              <a:solidFill>
                <a:schemeClr val="dk1"/>
              </a:solidFill>
              <a:effectLst/>
              <a:latin typeface="+mn-lt"/>
              <a:ea typeface="+mn-ea"/>
              <a:cs typeface="+mn-cs"/>
            </a:rPr>
            <a:t>The Depreciation Schedule for the equipment </a:t>
          </a:r>
        </a:p>
        <a:p>
          <a:r>
            <a:rPr lang="en-ID" sz="1100" b="0" i="0">
              <a:solidFill>
                <a:schemeClr val="dk1"/>
              </a:solidFill>
              <a:effectLst/>
              <a:latin typeface="+mn-lt"/>
              <a:ea typeface="+mn-ea"/>
              <a:cs typeface="+mn-cs"/>
            </a:rPr>
            <a:t>The Cash Flows from Operations </a:t>
          </a:r>
        </a:p>
        <a:p>
          <a:r>
            <a:rPr lang="en-ID" sz="1100" b="0" i="0">
              <a:solidFill>
                <a:schemeClr val="dk1"/>
              </a:solidFill>
              <a:effectLst/>
              <a:latin typeface="+mn-lt"/>
              <a:ea typeface="+mn-ea"/>
              <a:cs typeface="+mn-cs"/>
            </a:rPr>
            <a:t>The Cash Flows from Changes in Net Working Capital </a:t>
          </a:r>
        </a:p>
        <a:p>
          <a:r>
            <a:rPr lang="en-ID" sz="1100" b="0" i="0">
              <a:solidFill>
                <a:schemeClr val="dk1"/>
              </a:solidFill>
              <a:effectLst/>
              <a:latin typeface="+mn-lt"/>
              <a:ea typeface="+mn-ea"/>
              <a:cs typeface="+mn-cs"/>
            </a:rPr>
            <a:t>The Cash Flows from Capital Spending </a:t>
          </a:r>
        </a:p>
        <a:p>
          <a:r>
            <a:rPr lang="en-ID" sz="1100" b="0" i="0">
              <a:solidFill>
                <a:schemeClr val="dk1"/>
              </a:solidFill>
              <a:effectLst/>
              <a:latin typeface="+mn-lt"/>
              <a:ea typeface="+mn-ea"/>
              <a:cs typeface="+mn-cs"/>
            </a:rPr>
            <a:t>The final Project Cash Flows, and resulting project NPV, IRR, and Simple Payback Period </a:t>
          </a:r>
        </a:p>
        <a:p>
          <a:r>
            <a:rPr lang="en-ID" sz="1100" b="0" i="0">
              <a:solidFill>
                <a:schemeClr val="dk1"/>
              </a:solidFill>
              <a:effectLst/>
              <a:latin typeface="+mn-lt"/>
              <a:ea typeface="+mn-ea"/>
              <a:cs typeface="+mn-cs"/>
            </a:rPr>
            <a:t>All the information you need is in the financial data provided.</a:t>
          </a:r>
        </a:p>
        <a:p>
          <a:pPr algn="l"/>
          <a:endParaRPr lang="en-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CA1B-B449-43C5-B025-8B13D8D5CA34}">
  <dimension ref="A1"/>
  <sheetViews>
    <sheetView topLeftCell="A13" workbookViewId="0">
      <selection activeCell="N19" sqref="N19"/>
    </sheetView>
  </sheetViews>
  <sheetFormatPr defaultRowHeight="15.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6B4B-23BA-754D-8FC2-1B6FBB6E161E}">
  <dimension ref="A1:M29"/>
  <sheetViews>
    <sheetView topLeftCell="A7" zoomScale="61" workbookViewId="0">
      <selection activeCell="K29" sqref="K29"/>
    </sheetView>
  </sheetViews>
  <sheetFormatPr defaultColWidth="10.6640625" defaultRowHeight="15.5"/>
  <cols>
    <col min="1" max="1" width="24.5" customWidth="1"/>
    <col min="2" max="11" width="16.83203125" customWidth="1"/>
  </cols>
  <sheetData>
    <row r="1" spans="1:13" ht="18.5">
      <c r="A1" s="9" t="s">
        <v>47</v>
      </c>
    </row>
    <row r="2" spans="1:13">
      <c r="A2" s="5"/>
      <c r="B2" s="3"/>
      <c r="C2" s="3"/>
    </row>
    <row r="3" spans="1:13">
      <c r="A3" s="7" t="s">
        <v>8</v>
      </c>
      <c r="B3" s="8">
        <v>0.21</v>
      </c>
      <c r="C3" s="3"/>
    </row>
    <row r="4" spans="1:13">
      <c r="A4" s="7" t="s">
        <v>4</v>
      </c>
      <c r="B4" s="8">
        <v>0.18</v>
      </c>
    </row>
    <row r="5" spans="1:13">
      <c r="A5" s="7"/>
      <c r="B5" s="8"/>
    </row>
    <row r="6" spans="1:13">
      <c r="B6" s="47" t="s">
        <v>0</v>
      </c>
      <c r="C6" s="47"/>
      <c r="D6" s="47"/>
      <c r="E6" s="47"/>
      <c r="F6" s="47"/>
      <c r="G6" s="47"/>
      <c r="H6" s="47"/>
      <c r="I6" s="47"/>
      <c r="J6" s="47"/>
      <c r="K6" s="47"/>
      <c r="M6" s="13"/>
    </row>
    <row r="7" spans="1:13">
      <c r="A7" s="6" t="s">
        <v>10</v>
      </c>
      <c r="B7" s="10">
        <v>1</v>
      </c>
      <c r="C7" s="10">
        <v>2</v>
      </c>
      <c r="D7" s="10">
        <v>3</v>
      </c>
      <c r="E7" s="10">
        <v>4</v>
      </c>
      <c r="F7" s="10">
        <v>5</v>
      </c>
      <c r="G7" s="10">
        <v>6</v>
      </c>
      <c r="H7" s="10">
        <v>7</v>
      </c>
      <c r="I7" s="10">
        <v>8</v>
      </c>
      <c r="J7" s="10">
        <v>9</v>
      </c>
      <c r="K7" s="10">
        <v>10</v>
      </c>
      <c r="M7" s="13"/>
    </row>
    <row r="8" spans="1:13">
      <c r="A8" s="5" t="s">
        <v>9</v>
      </c>
      <c r="B8" s="11">
        <v>5000</v>
      </c>
      <c r="C8" s="11">
        <v>5000</v>
      </c>
      <c r="D8" s="11">
        <v>5000</v>
      </c>
      <c r="E8" s="11">
        <v>5000</v>
      </c>
      <c r="F8" s="11">
        <v>5000</v>
      </c>
      <c r="G8" s="11">
        <v>5000</v>
      </c>
      <c r="H8" s="11">
        <v>5000</v>
      </c>
      <c r="I8" s="11">
        <v>5000</v>
      </c>
      <c r="J8" s="11">
        <v>5000</v>
      </c>
      <c r="K8" s="11">
        <v>5000</v>
      </c>
      <c r="M8" s="13"/>
    </row>
    <row r="9" spans="1:13">
      <c r="A9" s="5" t="s">
        <v>5</v>
      </c>
      <c r="B9" s="2">
        <f>5000</f>
        <v>5000</v>
      </c>
      <c r="C9" s="2">
        <f>B9*(1+10%)</f>
        <v>5500</v>
      </c>
      <c r="D9" s="2">
        <f>C9*(1+10%)</f>
        <v>6050.0000000000009</v>
      </c>
      <c r="E9" s="2">
        <f t="shared" ref="E9:K9" si="0">D9*(1+10%)</f>
        <v>6655.0000000000018</v>
      </c>
      <c r="F9" s="2">
        <f t="shared" si="0"/>
        <v>7320.5000000000027</v>
      </c>
      <c r="G9" s="2">
        <f t="shared" si="0"/>
        <v>8052.5500000000038</v>
      </c>
      <c r="H9" s="2">
        <f t="shared" si="0"/>
        <v>8857.8050000000057</v>
      </c>
      <c r="I9" s="2">
        <f t="shared" si="0"/>
        <v>9743.5855000000065</v>
      </c>
      <c r="J9" s="2">
        <f t="shared" si="0"/>
        <v>10717.944050000007</v>
      </c>
      <c r="K9" s="2">
        <f t="shared" si="0"/>
        <v>11789.73845500001</v>
      </c>
      <c r="M9" s="13"/>
    </row>
    <row r="10" spans="1:13">
      <c r="A10" s="16" t="s">
        <v>10</v>
      </c>
      <c r="B10" s="15">
        <f>B8*B9</f>
        <v>25000000</v>
      </c>
      <c r="C10" s="15">
        <f t="shared" ref="C10:K10" si="1">C8*C9</f>
        <v>27500000</v>
      </c>
      <c r="D10" s="15">
        <f t="shared" si="1"/>
        <v>30250000.000000004</v>
      </c>
      <c r="E10" s="15">
        <f t="shared" si="1"/>
        <v>33275000.000000007</v>
      </c>
      <c r="F10" s="15">
        <f t="shared" si="1"/>
        <v>36602500.000000015</v>
      </c>
      <c r="G10" s="15">
        <f t="shared" si="1"/>
        <v>40262750.000000022</v>
      </c>
      <c r="H10" s="15">
        <f t="shared" si="1"/>
        <v>44289025.00000003</v>
      </c>
      <c r="I10" s="15">
        <f t="shared" si="1"/>
        <v>48717927.50000003</v>
      </c>
      <c r="J10" s="15">
        <f t="shared" si="1"/>
        <v>53589720.250000037</v>
      </c>
      <c r="K10" s="15">
        <f t="shared" si="1"/>
        <v>58948692.275000051</v>
      </c>
      <c r="M10" s="13"/>
    </row>
    <row r="11" spans="1:13">
      <c r="M11" s="13"/>
    </row>
    <row r="12" spans="1:13">
      <c r="A12" s="6" t="s">
        <v>6</v>
      </c>
      <c r="M12" s="13"/>
    </row>
    <row r="13" spans="1:13">
      <c r="A13" s="5" t="s">
        <v>31</v>
      </c>
      <c r="B13" s="11">
        <v>3000</v>
      </c>
      <c r="C13" s="11">
        <f>B13*(1-2%)</f>
        <v>2940</v>
      </c>
      <c r="D13" s="11">
        <f t="shared" ref="D13:K13" si="2">C13*(1-2%)</f>
        <v>2881.2</v>
      </c>
      <c r="E13" s="11">
        <f t="shared" si="2"/>
        <v>2823.5759999999996</v>
      </c>
      <c r="F13" s="11">
        <f t="shared" si="2"/>
        <v>2767.1044799999995</v>
      </c>
      <c r="G13" s="11">
        <f t="shared" si="2"/>
        <v>2711.7623903999993</v>
      </c>
      <c r="H13" s="11">
        <f t="shared" si="2"/>
        <v>2657.5271425919991</v>
      </c>
      <c r="I13" s="11">
        <f t="shared" si="2"/>
        <v>2604.3765997401592</v>
      </c>
      <c r="J13" s="11">
        <f t="shared" si="2"/>
        <v>2552.2890677453561</v>
      </c>
      <c r="K13" s="11">
        <f t="shared" si="2"/>
        <v>2501.2432863904487</v>
      </c>
      <c r="M13" s="13"/>
    </row>
    <row r="14" spans="1:13">
      <c r="A14" s="16" t="s">
        <v>6</v>
      </c>
      <c r="B14" s="17">
        <f>B13*B9</f>
        <v>15000000</v>
      </c>
      <c r="C14" s="17">
        <f t="shared" ref="C14:K14" si="3">C13*C9</f>
        <v>16170000</v>
      </c>
      <c r="D14" s="17">
        <f t="shared" si="3"/>
        <v>17431260</v>
      </c>
      <c r="E14" s="17">
        <f t="shared" si="3"/>
        <v>18790898.280000001</v>
      </c>
      <c r="F14" s="17">
        <f t="shared" si="3"/>
        <v>20256588.345840003</v>
      </c>
      <c r="G14" s="17">
        <f t="shared" si="3"/>
        <v>21836602.236815523</v>
      </c>
      <c r="H14" s="17">
        <f t="shared" si="3"/>
        <v>23539857.211287137</v>
      </c>
      <c r="I14" s="17">
        <f t="shared" si="3"/>
        <v>25375966.073767535</v>
      </c>
      <c r="J14" s="17">
        <f t="shared" si="3"/>
        <v>27355291.427521404</v>
      </c>
      <c r="K14" s="17">
        <f t="shared" si="3"/>
        <v>29489004.158868074</v>
      </c>
    </row>
    <row r="16" spans="1:13">
      <c r="A16" s="16" t="s">
        <v>11</v>
      </c>
      <c r="B16" s="17">
        <f>B10-B14</f>
        <v>10000000</v>
      </c>
      <c r="C16" s="17">
        <f t="shared" ref="C16:K16" si="4">C10-C14</f>
        <v>11330000</v>
      </c>
      <c r="D16" s="17">
        <f t="shared" si="4"/>
        <v>12818740.000000004</v>
      </c>
      <c r="E16" s="17">
        <f t="shared" si="4"/>
        <v>14484101.720000006</v>
      </c>
      <c r="F16" s="17">
        <f t="shared" si="4"/>
        <v>16345911.654160012</v>
      </c>
      <c r="G16" s="17">
        <f t="shared" si="4"/>
        <v>18426147.763184499</v>
      </c>
      <c r="H16" s="17">
        <f t="shared" si="4"/>
        <v>20749167.788712893</v>
      </c>
      <c r="I16" s="17">
        <f t="shared" si="4"/>
        <v>23341961.426232494</v>
      </c>
      <c r="J16" s="17">
        <f t="shared" si="4"/>
        <v>26234428.822478633</v>
      </c>
      <c r="K16" s="17">
        <f t="shared" si="4"/>
        <v>29459688.116131976</v>
      </c>
    </row>
    <row r="18" spans="1:11">
      <c r="A18" s="6" t="s">
        <v>12</v>
      </c>
    </row>
    <row r="19" spans="1:11">
      <c r="A19" s="5" t="s">
        <v>14</v>
      </c>
      <c r="B19" s="11">
        <v>1500000</v>
      </c>
      <c r="C19" s="11">
        <v>1500000</v>
      </c>
      <c r="D19" s="11">
        <v>1500000</v>
      </c>
      <c r="E19" s="11">
        <v>1000000</v>
      </c>
      <c r="F19" s="11">
        <v>1000000</v>
      </c>
      <c r="G19" s="11">
        <v>1000000</v>
      </c>
      <c r="H19" s="11">
        <v>500000</v>
      </c>
      <c r="I19" s="11">
        <v>500000</v>
      </c>
      <c r="J19" s="11">
        <v>500000</v>
      </c>
      <c r="K19" s="11">
        <v>500000</v>
      </c>
    </row>
    <row r="20" spans="1:11">
      <c r="A20" s="5" t="s">
        <v>33</v>
      </c>
      <c r="B20" s="11">
        <v>1000000</v>
      </c>
      <c r="C20" s="11">
        <v>1000000</v>
      </c>
      <c r="D20" s="11">
        <v>1000000</v>
      </c>
      <c r="E20" s="11">
        <v>1000000</v>
      </c>
      <c r="F20" s="11">
        <v>1000000</v>
      </c>
      <c r="G20" s="11">
        <v>1000000</v>
      </c>
      <c r="H20" s="11">
        <v>1000000</v>
      </c>
      <c r="I20" s="11">
        <v>1000000</v>
      </c>
      <c r="J20" s="11">
        <v>1000000</v>
      </c>
      <c r="K20" s="11">
        <v>1000000</v>
      </c>
    </row>
    <row r="21" spans="1:11">
      <c r="A21" s="5" t="s">
        <v>32</v>
      </c>
      <c r="B21" s="11">
        <v>250000</v>
      </c>
      <c r="C21" s="11">
        <v>250000</v>
      </c>
      <c r="D21" s="11">
        <v>100000</v>
      </c>
      <c r="E21" s="11">
        <v>100000</v>
      </c>
      <c r="F21" s="11">
        <v>100000</v>
      </c>
      <c r="G21" s="11">
        <v>100000</v>
      </c>
      <c r="H21" s="11">
        <v>100000</v>
      </c>
      <c r="I21" s="11">
        <v>100000</v>
      </c>
      <c r="J21" s="11">
        <v>100000</v>
      </c>
      <c r="K21" s="11">
        <v>100000</v>
      </c>
    </row>
    <row r="22" spans="1:11">
      <c r="A22" s="5" t="s">
        <v>13</v>
      </c>
      <c r="B22" s="13">
        <f>'2.  Depreciation'!C6</f>
        <v>2858000</v>
      </c>
      <c r="C22" s="13">
        <f>'2.  Depreciation'!C7</f>
        <v>4898000</v>
      </c>
      <c r="D22" s="13">
        <f>'2.  Depreciation'!C8</f>
        <v>3498000</v>
      </c>
      <c r="E22" s="13">
        <f>'2.  Depreciation'!C9</f>
        <v>2498000</v>
      </c>
      <c r="F22" s="13">
        <f>'2.  Depreciation'!C10</f>
        <v>1786000</v>
      </c>
      <c r="G22" s="13">
        <f>'2.  Depreciation'!C11</f>
        <v>1784000</v>
      </c>
      <c r="H22" s="13">
        <f>'2.  Depreciation'!C12</f>
        <v>1786000</v>
      </c>
      <c r="I22" s="13">
        <f>'2.  Depreciation'!C13</f>
        <v>892000</v>
      </c>
      <c r="J22" s="13"/>
      <c r="K22" s="13"/>
    </row>
    <row r="23" spans="1:11">
      <c r="A23" s="14" t="s">
        <v>20</v>
      </c>
      <c r="B23" s="15">
        <f>SUM(B19:B22)</f>
        <v>5608000</v>
      </c>
      <c r="C23" s="15">
        <f t="shared" ref="C23:K23" si="5">SUM(C19:C22)</f>
        <v>7648000</v>
      </c>
      <c r="D23" s="15">
        <f t="shared" si="5"/>
        <v>6098000</v>
      </c>
      <c r="E23" s="15">
        <f t="shared" si="5"/>
        <v>4598000</v>
      </c>
      <c r="F23" s="15">
        <f t="shared" si="5"/>
        <v>3886000</v>
      </c>
      <c r="G23" s="15">
        <f t="shared" si="5"/>
        <v>3884000</v>
      </c>
      <c r="H23" s="15">
        <f t="shared" si="5"/>
        <v>3386000</v>
      </c>
      <c r="I23" s="15">
        <f t="shared" si="5"/>
        <v>2492000</v>
      </c>
      <c r="J23" s="15">
        <f t="shared" si="5"/>
        <v>1600000</v>
      </c>
      <c r="K23" s="15">
        <f t="shared" si="5"/>
        <v>1600000</v>
      </c>
    </row>
    <row r="25" spans="1:11">
      <c r="A25" s="18" t="s">
        <v>19</v>
      </c>
      <c r="B25" s="15">
        <f>B16-B23</f>
        <v>4392000</v>
      </c>
      <c r="C25" s="15">
        <f t="shared" ref="C25:K25" si="6">C16-C23</f>
        <v>3682000</v>
      </c>
      <c r="D25" s="15">
        <f t="shared" si="6"/>
        <v>6720740.0000000037</v>
      </c>
      <c r="E25" s="15">
        <f t="shared" si="6"/>
        <v>9886101.7200000063</v>
      </c>
      <c r="F25" s="15">
        <f t="shared" si="6"/>
        <v>12459911.654160012</v>
      </c>
      <c r="G25" s="15">
        <f t="shared" si="6"/>
        <v>14542147.763184499</v>
      </c>
      <c r="H25" s="15">
        <f t="shared" si="6"/>
        <v>17363167.788712893</v>
      </c>
      <c r="I25" s="15">
        <f t="shared" si="6"/>
        <v>20849961.426232494</v>
      </c>
      <c r="J25" s="15">
        <f t="shared" si="6"/>
        <v>24634428.822478633</v>
      </c>
      <c r="K25" s="15">
        <f t="shared" si="6"/>
        <v>27859688.116131976</v>
      </c>
    </row>
    <row r="27" spans="1:11">
      <c r="A27" s="16" t="s">
        <v>21</v>
      </c>
      <c r="B27" s="15">
        <f>21%*B25</f>
        <v>922320</v>
      </c>
      <c r="C27" s="15">
        <f t="shared" ref="C27:K27" si="7">21%*C25</f>
        <v>773220</v>
      </c>
      <c r="D27" s="15">
        <f t="shared" si="7"/>
        <v>1411355.4000000008</v>
      </c>
      <c r="E27" s="15">
        <f t="shared" si="7"/>
        <v>2076081.3612000013</v>
      </c>
      <c r="F27" s="15">
        <f t="shared" si="7"/>
        <v>2616581.4473736025</v>
      </c>
      <c r="G27" s="15">
        <f t="shared" si="7"/>
        <v>3053851.0302687446</v>
      </c>
      <c r="H27" s="15">
        <f t="shared" si="7"/>
        <v>3646265.2356297071</v>
      </c>
      <c r="I27" s="15">
        <f t="shared" si="7"/>
        <v>4378491.8995088236</v>
      </c>
      <c r="J27" s="15">
        <f t="shared" si="7"/>
        <v>5173230.0527205132</v>
      </c>
      <c r="K27" s="15">
        <f t="shared" si="7"/>
        <v>5850534.5043877149</v>
      </c>
    </row>
    <row r="29" spans="1:11">
      <c r="A29" s="16" t="s">
        <v>22</v>
      </c>
      <c r="B29" s="15">
        <f>B25-B27</f>
        <v>3469680</v>
      </c>
      <c r="C29" s="15">
        <f t="shared" ref="C29:K29" si="8">C25-C27</f>
        <v>2908780</v>
      </c>
      <c r="D29" s="15">
        <f t="shared" si="8"/>
        <v>5309384.6000000034</v>
      </c>
      <c r="E29" s="15">
        <f t="shared" si="8"/>
        <v>7810020.3588000052</v>
      </c>
      <c r="F29" s="15">
        <f t="shared" si="8"/>
        <v>9843330.206786409</v>
      </c>
      <c r="G29" s="15">
        <f t="shared" si="8"/>
        <v>11488296.732915755</v>
      </c>
      <c r="H29" s="15">
        <f t="shared" si="8"/>
        <v>13716902.553083185</v>
      </c>
      <c r="I29" s="15">
        <f t="shared" si="8"/>
        <v>16471469.526723672</v>
      </c>
      <c r="J29" s="15">
        <f t="shared" si="8"/>
        <v>19461198.76975812</v>
      </c>
      <c r="K29" s="15">
        <f t="shared" si="8"/>
        <v>22009153.611744262</v>
      </c>
    </row>
  </sheetData>
  <mergeCells count="1">
    <mergeCell ref="B6:K6"/>
  </mergeCells>
  <pageMargins left="0.7" right="0.7" top="0.75" bottom="0.75"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FF42F-D471-B44D-A0BD-0CBFA5763F9F}">
  <dimension ref="A1:K13"/>
  <sheetViews>
    <sheetView workbookViewId="0">
      <selection activeCell="D11" sqref="D11"/>
    </sheetView>
  </sheetViews>
  <sheetFormatPr defaultColWidth="10.6640625" defaultRowHeight="15.5"/>
  <cols>
    <col min="2" max="4" width="14.83203125" customWidth="1"/>
  </cols>
  <sheetData>
    <row r="1" spans="1:11">
      <c r="A1" s="6" t="s">
        <v>15</v>
      </c>
    </row>
    <row r="2" spans="1:11">
      <c r="A2" s="6"/>
    </row>
    <row r="3" spans="1:11">
      <c r="A3" s="6" t="s">
        <v>7</v>
      </c>
      <c r="B3" s="12">
        <v>20000000</v>
      </c>
    </row>
    <row r="5" spans="1:11">
      <c r="A5" s="19" t="s">
        <v>0</v>
      </c>
      <c r="B5" s="19" t="s">
        <v>16</v>
      </c>
      <c r="C5" s="20" t="s">
        <v>17</v>
      </c>
      <c r="D5" s="20" t="s">
        <v>18</v>
      </c>
    </row>
    <row r="6" spans="1:11">
      <c r="A6" s="4">
        <v>1</v>
      </c>
      <c r="B6" s="4">
        <v>0.1429</v>
      </c>
      <c r="C6" s="13">
        <f>$B$3*B6</f>
        <v>2858000</v>
      </c>
      <c r="D6" s="13">
        <f>$B$3-C6</f>
        <v>17142000</v>
      </c>
      <c r="K6" s="13"/>
    </row>
    <row r="7" spans="1:11">
      <c r="A7" s="4">
        <v>2</v>
      </c>
      <c r="B7" s="4">
        <v>0.24490000000000001</v>
      </c>
      <c r="C7" s="13">
        <f t="shared" ref="C7:C13" si="0">$B$3*B7</f>
        <v>4898000</v>
      </c>
      <c r="D7" s="13">
        <f>D6-C7</f>
        <v>12244000</v>
      </c>
      <c r="K7" s="13"/>
    </row>
    <row r="8" spans="1:11">
      <c r="A8" s="4">
        <v>3</v>
      </c>
      <c r="B8" s="4">
        <v>0.1749</v>
      </c>
      <c r="C8" s="13">
        <f t="shared" si="0"/>
        <v>3498000</v>
      </c>
      <c r="D8" s="13">
        <f>D7-C8</f>
        <v>8746000</v>
      </c>
      <c r="K8" s="13"/>
    </row>
    <row r="9" spans="1:11">
      <c r="A9" s="4">
        <v>4</v>
      </c>
      <c r="B9" s="4">
        <v>0.1249</v>
      </c>
      <c r="C9" s="13">
        <f t="shared" si="0"/>
        <v>2498000</v>
      </c>
      <c r="D9" s="13">
        <f t="shared" ref="D9:D13" si="1">D8-C9</f>
        <v>6248000</v>
      </c>
      <c r="K9" s="13"/>
    </row>
    <row r="10" spans="1:11">
      <c r="A10" s="4">
        <v>5</v>
      </c>
      <c r="B10" s="4">
        <v>8.9300000000000004E-2</v>
      </c>
      <c r="C10" s="13">
        <f t="shared" si="0"/>
        <v>1786000</v>
      </c>
      <c r="D10" s="13">
        <f t="shared" si="1"/>
        <v>4462000</v>
      </c>
      <c r="K10" s="13"/>
    </row>
    <row r="11" spans="1:11">
      <c r="A11" s="4">
        <v>6</v>
      </c>
      <c r="B11" s="4">
        <v>8.9200000000000002E-2</v>
      </c>
      <c r="C11" s="13">
        <f t="shared" si="0"/>
        <v>1784000</v>
      </c>
      <c r="D11" s="13">
        <f t="shared" si="1"/>
        <v>2678000</v>
      </c>
      <c r="K11" s="13"/>
    </row>
    <row r="12" spans="1:11">
      <c r="A12" s="4">
        <v>7</v>
      </c>
      <c r="B12" s="4">
        <v>8.9300000000000004E-2</v>
      </c>
      <c r="C12" s="13">
        <f t="shared" si="0"/>
        <v>1786000</v>
      </c>
      <c r="D12" s="13">
        <f t="shared" si="1"/>
        <v>892000</v>
      </c>
      <c r="K12" s="13"/>
    </row>
    <row r="13" spans="1:11">
      <c r="A13" s="4">
        <v>8</v>
      </c>
      <c r="B13" s="4">
        <v>4.4600000000000001E-2</v>
      </c>
      <c r="C13" s="13">
        <f t="shared" si="0"/>
        <v>892000</v>
      </c>
      <c r="D13" s="13">
        <f t="shared" si="1"/>
        <v>0</v>
      </c>
      <c r="K13" s="13"/>
    </row>
  </sheetData>
  <pageMargins left="0.7" right="0.7" top="0.75" bottom="0.75" header="0.3" footer="0.3"/>
  <pageSetup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FFCA-0EE1-2D44-B006-1EDFEB3091A4}">
  <dimension ref="A1:L8"/>
  <sheetViews>
    <sheetView zoomScale="68" workbookViewId="0">
      <selection activeCell="L7" sqref="L7"/>
    </sheetView>
  </sheetViews>
  <sheetFormatPr defaultColWidth="10.6640625" defaultRowHeight="15.5"/>
  <cols>
    <col min="1" max="1" width="24.83203125" customWidth="1"/>
    <col min="2" max="12" width="15.83203125" customWidth="1"/>
  </cols>
  <sheetData>
    <row r="1" spans="1:12">
      <c r="A1" s="6" t="s">
        <v>34</v>
      </c>
    </row>
    <row r="3" spans="1:12">
      <c r="B3" s="48" t="s">
        <v>0</v>
      </c>
      <c r="C3" s="48"/>
      <c r="D3" s="48"/>
      <c r="E3" s="48"/>
      <c r="F3" s="48"/>
      <c r="G3" s="48"/>
      <c r="H3" s="48"/>
      <c r="I3" s="48"/>
      <c r="J3" s="48"/>
      <c r="K3" s="48"/>
      <c r="L3" s="48"/>
    </row>
    <row r="4" spans="1:12">
      <c r="B4" s="10">
        <v>0</v>
      </c>
      <c r="C4" s="10">
        <v>1</v>
      </c>
      <c r="D4" s="10">
        <v>2</v>
      </c>
      <c r="E4" s="10">
        <v>3</v>
      </c>
      <c r="F4" s="10">
        <v>4</v>
      </c>
      <c r="G4" s="10">
        <v>5</v>
      </c>
      <c r="H4" s="10">
        <v>6</v>
      </c>
      <c r="I4" s="10">
        <v>7</v>
      </c>
      <c r="J4" s="10">
        <v>8</v>
      </c>
      <c r="K4" s="10">
        <v>9</v>
      </c>
      <c r="L4" s="10">
        <v>10</v>
      </c>
    </row>
    <row r="5" spans="1:12">
      <c r="A5" t="s">
        <v>23</v>
      </c>
      <c r="B5" s="11">
        <v>0</v>
      </c>
      <c r="C5" s="11">
        <f>'1.  Pro Forma Income Statement'!B25</f>
        <v>4392000</v>
      </c>
      <c r="D5" s="11">
        <f>'1.  Pro Forma Income Statement'!C25</f>
        <v>3682000</v>
      </c>
      <c r="E5" s="11">
        <f>'1.  Pro Forma Income Statement'!D25</f>
        <v>6720740.0000000037</v>
      </c>
      <c r="F5" s="11">
        <f>'1.  Pro Forma Income Statement'!E25</f>
        <v>9886101.7200000063</v>
      </c>
      <c r="G5" s="11">
        <f>'1.  Pro Forma Income Statement'!F25</f>
        <v>12459911.654160012</v>
      </c>
      <c r="H5" s="11">
        <f>'1.  Pro Forma Income Statement'!G25</f>
        <v>14542147.763184499</v>
      </c>
      <c r="I5" s="11">
        <f>'1.  Pro Forma Income Statement'!H25</f>
        <v>17363167.788712893</v>
      </c>
      <c r="J5" s="11">
        <f>'1.  Pro Forma Income Statement'!I25</f>
        <v>20849961.426232494</v>
      </c>
      <c r="K5" s="11">
        <f>'1.  Pro Forma Income Statement'!J25</f>
        <v>24634428.822478633</v>
      </c>
      <c r="L5" s="11">
        <f>'1.  Pro Forma Income Statement'!K25</f>
        <v>27859688.116131976</v>
      </c>
    </row>
    <row r="6" spans="1:12">
      <c r="A6" s="21" t="s">
        <v>24</v>
      </c>
      <c r="B6" s="11">
        <v>0</v>
      </c>
      <c r="C6" s="11">
        <f>'1.  Pro Forma Income Statement'!B22</f>
        <v>2858000</v>
      </c>
      <c r="D6" s="11">
        <f>'1.  Pro Forma Income Statement'!C22</f>
        <v>4898000</v>
      </c>
      <c r="E6" s="11">
        <f>'1.  Pro Forma Income Statement'!D22</f>
        <v>3498000</v>
      </c>
      <c r="F6" s="11">
        <f>'1.  Pro Forma Income Statement'!E22</f>
        <v>2498000</v>
      </c>
      <c r="G6" s="11">
        <f>'1.  Pro Forma Income Statement'!F22</f>
        <v>1786000</v>
      </c>
      <c r="H6" s="11">
        <f>'1.  Pro Forma Income Statement'!G22</f>
        <v>1784000</v>
      </c>
      <c r="I6" s="11">
        <f>'1.  Pro Forma Income Statement'!H22</f>
        <v>1786000</v>
      </c>
      <c r="J6" s="11">
        <f>'1.  Pro Forma Income Statement'!I22</f>
        <v>892000</v>
      </c>
      <c r="K6" s="11"/>
      <c r="L6" s="11"/>
    </row>
    <row r="7" spans="1:12">
      <c r="A7" s="21" t="s">
        <v>25</v>
      </c>
      <c r="B7" s="11">
        <v>0</v>
      </c>
      <c r="C7" s="15">
        <f>'1.  Pro Forma Income Statement'!B27</f>
        <v>922320</v>
      </c>
      <c r="D7" s="15">
        <f>'1.  Pro Forma Income Statement'!C27</f>
        <v>773220</v>
      </c>
      <c r="E7" s="15">
        <f>'1.  Pro Forma Income Statement'!D27</f>
        <v>1411355.4000000008</v>
      </c>
      <c r="F7" s="15">
        <f>'1.  Pro Forma Income Statement'!E27</f>
        <v>2076081.3612000013</v>
      </c>
      <c r="G7" s="15">
        <f>'1.  Pro Forma Income Statement'!F27</f>
        <v>2616581.4473736025</v>
      </c>
      <c r="H7" s="15">
        <f>'1.  Pro Forma Income Statement'!G27</f>
        <v>3053851.0302687446</v>
      </c>
      <c r="I7" s="15">
        <f>'1.  Pro Forma Income Statement'!H27</f>
        <v>3646265.2356297071</v>
      </c>
      <c r="J7" s="15">
        <f>'1.  Pro Forma Income Statement'!I27</f>
        <v>4378491.8995088236</v>
      </c>
      <c r="K7" s="15">
        <f>'1.  Pro Forma Income Statement'!J27</f>
        <v>5173230.0527205132</v>
      </c>
      <c r="L7" s="15">
        <f>'1.  Pro Forma Income Statement'!K27</f>
        <v>5850534.5043877149</v>
      </c>
    </row>
    <row r="8" spans="1:12">
      <c r="A8" s="16" t="s">
        <v>46</v>
      </c>
      <c r="B8" s="15">
        <f>B5+B6-B7</f>
        <v>0</v>
      </c>
      <c r="C8" s="15">
        <f>C5+C6-C7</f>
        <v>6327680</v>
      </c>
      <c r="D8" s="15">
        <f t="shared" ref="D8:L8" si="0">D5+D6-D7</f>
        <v>7806780</v>
      </c>
      <c r="E8" s="15">
        <f t="shared" si="0"/>
        <v>8807384.6000000034</v>
      </c>
      <c r="F8" s="15">
        <f t="shared" si="0"/>
        <v>10308020.358800005</v>
      </c>
      <c r="G8" s="15">
        <f t="shared" si="0"/>
        <v>11629330.206786409</v>
      </c>
      <c r="H8" s="15">
        <f t="shared" si="0"/>
        <v>13272296.732915755</v>
      </c>
      <c r="I8" s="15">
        <f t="shared" si="0"/>
        <v>15502902.553083185</v>
      </c>
      <c r="J8" s="15">
        <f t="shared" si="0"/>
        <v>17363469.526723672</v>
      </c>
      <c r="K8" s="15">
        <f t="shared" si="0"/>
        <v>19461198.76975812</v>
      </c>
      <c r="L8" s="15">
        <f t="shared" si="0"/>
        <v>22009153.611744262</v>
      </c>
    </row>
  </sheetData>
  <mergeCells count="1">
    <mergeCell ref="B3:L3"/>
  </mergeCells>
  <pageMargins left="0.7" right="0.7" top="0.75" bottom="0.75" header="0.3" footer="0.3"/>
  <pageSetup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628B6-0E58-0C44-A5AA-74CE1FEB358D}">
  <dimension ref="A1:N10"/>
  <sheetViews>
    <sheetView tabSelected="1" topLeftCell="C1" zoomScale="92" workbookViewId="0">
      <selection activeCell="L11" sqref="L11"/>
    </sheetView>
  </sheetViews>
  <sheetFormatPr defaultColWidth="10.6640625" defaultRowHeight="15.5"/>
  <cols>
    <col min="1" max="1" width="30.6640625" customWidth="1"/>
    <col min="2" max="12" width="16.83203125" customWidth="1"/>
  </cols>
  <sheetData>
    <row r="1" spans="1:14">
      <c r="A1" s="6" t="s">
        <v>48</v>
      </c>
    </row>
    <row r="2" spans="1:14">
      <c r="A2" s="6"/>
    </row>
    <row r="4" spans="1:14">
      <c r="B4" s="47" t="s">
        <v>0</v>
      </c>
      <c r="C4" s="47"/>
      <c r="D4" s="47"/>
      <c r="E4" s="47"/>
      <c r="F4" s="47"/>
      <c r="G4" s="47"/>
      <c r="H4" s="47"/>
      <c r="I4" s="47"/>
      <c r="J4" s="47"/>
      <c r="K4" s="47"/>
      <c r="L4" s="47"/>
      <c r="M4" s="13"/>
    </row>
    <row r="5" spans="1:14">
      <c r="B5" s="10">
        <v>0</v>
      </c>
      <c r="C5" s="10">
        <v>1</v>
      </c>
      <c r="D5" s="10">
        <v>2</v>
      </c>
      <c r="E5" s="10">
        <v>3</v>
      </c>
      <c r="F5" s="10">
        <v>4</v>
      </c>
      <c r="G5" s="10">
        <v>5</v>
      </c>
      <c r="H5" s="10">
        <v>6</v>
      </c>
      <c r="I5" s="10">
        <v>7</v>
      </c>
      <c r="J5" s="10">
        <v>8</v>
      </c>
      <c r="K5" s="10">
        <v>9</v>
      </c>
      <c r="L5" s="10">
        <v>10</v>
      </c>
      <c r="N5" s="13"/>
    </row>
    <row r="6" spans="1:14">
      <c r="A6" t="s">
        <v>10</v>
      </c>
      <c r="B6" s="11">
        <v>0</v>
      </c>
      <c r="C6" s="11">
        <f>'1.  Pro Forma Income Statement'!B10</f>
        <v>25000000</v>
      </c>
      <c r="D6" s="11">
        <f>'1.  Pro Forma Income Statement'!C10</f>
        <v>27500000</v>
      </c>
      <c r="E6" s="11">
        <f>'1.  Pro Forma Income Statement'!D10</f>
        <v>30250000.000000004</v>
      </c>
      <c r="F6" s="11">
        <f>'1.  Pro Forma Income Statement'!E10</f>
        <v>33275000.000000007</v>
      </c>
      <c r="G6" s="11">
        <f>'1.  Pro Forma Income Statement'!F10</f>
        <v>36602500.000000015</v>
      </c>
      <c r="H6" s="11">
        <f>'1.  Pro Forma Income Statement'!G10</f>
        <v>40262750.000000022</v>
      </c>
      <c r="I6" s="11">
        <f>'1.  Pro Forma Income Statement'!H10</f>
        <v>44289025.00000003</v>
      </c>
      <c r="J6" s="11">
        <f>'1.  Pro Forma Income Statement'!I10</f>
        <v>48717927.50000003</v>
      </c>
      <c r="K6" s="11">
        <f>'1.  Pro Forma Income Statement'!J10</f>
        <v>53589720.250000037</v>
      </c>
      <c r="L6" s="11">
        <f>'1.  Pro Forma Income Statement'!K10</f>
        <v>58948692.275000051</v>
      </c>
      <c r="M6" s="13"/>
    </row>
    <row r="7" spans="1:14">
      <c r="A7" s="37" t="s">
        <v>40</v>
      </c>
      <c r="B7" s="38">
        <v>2500000</v>
      </c>
      <c r="C7" s="38">
        <f>15%*C6</f>
        <v>3750000</v>
      </c>
      <c r="D7" s="38">
        <f t="shared" ref="D7:L7" si="0">15%*D6</f>
        <v>4125000</v>
      </c>
      <c r="E7" s="38">
        <f t="shared" si="0"/>
        <v>4537500</v>
      </c>
      <c r="F7" s="38">
        <f t="shared" si="0"/>
        <v>4991250.0000000009</v>
      </c>
      <c r="G7" s="38">
        <f t="shared" si="0"/>
        <v>5490375.0000000019</v>
      </c>
      <c r="H7" s="38">
        <f t="shared" si="0"/>
        <v>6039412.5000000028</v>
      </c>
      <c r="I7" s="38">
        <f t="shared" si="0"/>
        <v>6643353.7500000047</v>
      </c>
      <c r="J7" s="38">
        <f t="shared" si="0"/>
        <v>7307689.1250000047</v>
      </c>
      <c r="K7" s="38">
        <f t="shared" si="0"/>
        <v>8038458.0375000052</v>
      </c>
      <c r="L7" s="38">
        <f t="shared" si="0"/>
        <v>8842303.841250008</v>
      </c>
      <c r="M7" s="13"/>
    </row>
    <row r="8" spans="1:14">
      <c r="A8" s="36" t="s">
        <v>41</v>
      </c>
      <c r="B8" s="22">
        <f>B7</f>
        <v>2500000</v>
      </c>
      <c r="C8" s="22">
        <f>C7-B7</f>
        <v>1250000</v>
      </c>
      <c r="D8" s="22">
        <f t="shared" ref="D8:L8" si="1">D7-C7</f>
        <v>375000</v>
      </c>
      <c r="E8" s="22">
        <f t="shared" si="1"/>
        <v>412500</v>
      </c>
      <c r="F8" s="22">
        <f t="shared" si="1"/>
        <v>453750.00000000093</v>
      </c>
      <c r="G8" s="22">
        <f t="shared" si="1"/>
        <v>499125.00000000093</v>
      </c>
      <c r="H8" s="22">
        <f t="shared" si="1"/>
        <v>549037.50000000093</v>
      </c>
      <c r="I8" s="22">
        <f t="shared" si="1"/>
        <v>603941.25000000186</v>
      </c>
      <c r="J8" s="22">
        <f t="shared" si="1"/>
        <v>664335.375</v>
      </c>
      <c r="K8" s="22">
        <f t="shared" si="1"/>
        <v>730768.91250000056</v>
      </c>
      <c r="L8" s="22">
        <f>L7-K7</f>
        <v>803845.80375000276</v>
      </c>
      <c r="M8" s="13"/>
    </row>
    <row r="9" spans="1:14">
      <c r="A9" t="s">
        <v>43</v>
      </c>
      <c r="B9" s="22"/>
      <c r="C9" s="22"/>
      <c r="D9" s="22"/>
      <c r="E9" s="22"/>
      <c r="F9" s="22"/>
      <c r="G9" s="22"/>
      <c r="H9" s="22"/>
      <c r="I9" s="22"/>
      <c r="J9" s="22"/>
      <c r="K9" s="22"/>
      <c r="L9" s="22">
        <f>L7</f>
        <v>8842303.841250008</v>
      </c>
      <c r="M9" s="13"/>
    </row>
    <row r="10" spans="1:14" s="6" customFormat="1">
      <c r="A10" s="33" t="s">
        <v>37</v>
      </c>
      <c r="B10" s="15">
        <f>-B8</f>
        <v>-2500000</v>
      </c>
      <c r="C10" s="15">
        <f t="shared" ref="C10:L10" si="2">-C8</f>
        <v>-1250000</v>
      </c>
      <c r="D10" s="15">
        <f t="shared" si="2"/>
        <v>-375000</v>
      </c>
      <c r="E10" s="15">
        <f t="shared" si="2"/>
        <v>-412500</v>
      </c>
      <c r="F10" s="15">
        <f t="shared" si="2"/>
        <v>-453750.00000000093</v>
      </c>
      <c r="G10" s="15">
        <f t="shared" si="2"/>
        <v>-499125.00000000093</v>
      </c>
      <c r="H10" s="15">
        <f t="shared" si="2"/>
        <v>-549037.50000000093</v>
      </c>
      <c r="I10" s="15">
        <f t="shared" si="2"/>
        <v>-603941.25000000186</v>
      </c>
      <c r="J10" s="15">
        <f t="shared" si="2"/>
        <v>-664335.375</v>
      </c>
      <c r="K10" s="15">
        <f t="shared" si="2"/>
        <v>-730768.91250000056</v>
      </c>
      <c r="L10" s="15">
        <f>-L8+L9</f>
        <v>8038458.0375000052</v>
      </c>
    </row>
  </sheetData>
  <mergeCells count="1">
    <mergeCell ref="B4:L4"/>
  </mergeCells>
  <pageMargins left="0.7" right="0.7" top="0.75" bottom="0.75" header="0.3" footer="0.3"/>
  <pageSetup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2443-453E-F947-A832-F621B13708AC}">
  <dimension ref="A1:N8"/>
  <sheetViews>
    <sheetView topLeftCell="H3" workbookViewId="0">
      <selection activeCell="L7" sqref="L7"/>
    </sheetView>
  </sheetViews>
  <sheetFormatPr defaultColWidth="10.6640625" defaultRowHeight="15.5"/>
  <cols>
    <col min="1" max="1" width="29.1640625" customWidth="1"/>
    <col min="2" max="4" width="14.83203125" customWidth="1"/>
    <col min="5" max="7" width="11.1640625" bestFit="1" customWidth="1"/>
    <col min="8" max="9" width="11" bestFit="1" customWidth="1"/>
    <col min="10" max="10" width="13.33203125" bestFit="1" customWidth="1"/>
    <col min="12" max="12" width="14" bestFit="1" customWidth="1"/>
  </cols>
  <sheetData>
    <row r="1" spans="1:14">
      <c r="A1" s="6" t="s">
        <v>35</v>
      </c>
    </row>
    <row r="2" spans="1:14">
      <c r="A2" s="6"/>
    </row>
    <row r="4" spans="1:14">
      <c r="B4" s="47" t="s">
        <v>0</v>
      </c>
      <c r="C4" s="47"/>
      <c r="D4" s="47"/>
      <c r="E4" s="47"/>
      <c r="F4" s="47"/>
      <c r="G4" s="47"/>
      <c r="H4" s="47"/>
      <c r="I4" s="47"/>
      <c r="J4" s="47"/>
      <c r="K4" s="47"/>
      <c r="L4" s="47"/>
      <c r="M4" s="13"/>
    </row>
    <row r="5" spans="1:14">
      <c r="B5" s="10">
        <v>0</v>
      </c>
      <c r="C5" s="10">
        <v>1</v>
      </c>
      <c r="D5" s="10">
        <v>2</v>
      </c>
      <c r="E5" s="10">
        <v>3</v>
      </c>
      <c r="F5" s="10">
        <v>4</v>
      </c>
      <c r="G5" s="10">
        <v>5</v>
      </c>
      <c r="H5" s="10">
        <v>6</v>
      </c>
      <c r="I5" s="10">
        <v>7</v>
      </c>
      <c r="J5" s="10">
        <v>8</v>
      </c>
      <c r="K5" s="10">
        <v>9</v>
      </c>
      <c r="L5" s="10">
        <v>10</v>
      </c>
      <c r="N5" s="13"/>
    </row>
    <row r="6" spans="1:14">
      <c r="A6" t="s">
        <v>1</v>
      </c>
      <c r="B6" s="11">
        <f>-'2.  Depreciation'!B3</f>
        <v>-20000000</v>
      </c>
      <c r="C6" s="11">
        <v>0</v>
      </c>
      <c r="D6" s="11">
        <v>0</v>
      </c>
      <c r="E6" s="11">
        <v>0</v>
      </c>
      <c r="F6" s="11">
        <v>0</v>
      </c>
      <c r="G6" s="11">
        <v>0</v>
      </c>
      <c r="H6" s="11">
        <v>0</v>
      </c>
      <c r="I6" s="11">
        <v>0</v>
      </c>
      <c r="J6" s="11">
        <v>0</v>
      </c>
      <c r="K6" s="11">
        <v>0</v>
      </c>
      <c r="L6" s="11">
        <v>0</v>
      </c>
      <c r="M6" s="13"/>
    </row>
    <row r="7" spans="1:14">
      <c r="A7" t="s">
        <v>42</v>
      </c>
      <c r="B7" s="11"/>
      <c r="C7" s="11"/>
      <c r="D7" s="11"/>
      <c r="E7" s="11"/>
      <c r="F7" s="11"/>
      <c r="G7" s="11"/>
      <c r="H7" s="11"/>
      <c r="I7" s="11"/>
      <c r="K7" s="11"/>
      <c r="L7" s="11">
        <f>2000000*(1-21%)</f>
        <v>1580000</v>
      </c>
    </row>
    <row r="8" spans="1:14">
      <c r="A8" s="16" t="s">
        <v>45</v>
      </c>
      <c r="B8" s="15">
        <f>SUM(B6:B7)</f>
        <v>-20000000</v>
      </c>
      <c r="C8" s="15">
        <f t="shared" ref="C8:L8" si="0">SUM(C6:C7)</f>
        <v>0</v>
      </c>
      <c r="D8" s="15">
        <f t="shared" si="0"/>
        <v>0</v>
      </c>
      <c r="E8" s="15">
        <f t="shared" si="0"/>
        <v>0</v>
      </c>
      <c r="F8" s="15">
        <f t="shared" si="0"/>
        <v>0</v>
      </c>
      <c r="G8" s="15">
        <f t="shared" si="0"/>
        <v>0</v>
      </c>
      <c r="H8" s="15">
        <f t="shared" si="0"/>
        <v>0</v>
      </c>
      <c r="I8" s="15">
        <f t="shared" si="0"/>
        <v>0</v>
      </c>
      <c r="J8" s="15">
        <f t="shared" si="0"/>
        <v>0</v>
      </c>
      <c r="K8" s="15">
        <f t="shared" si="0"/>
        <v>0</v>
      </c>
      <c r="L8" s="15">
        <f>SUM(L6:L7)</f>
        <v>1580000</v>
      </c>
    </row>
  </sheetData>
  <mergeCells count="1">
    <mergeCell ref="B4:L4"/>
  </mergeCells>
  <pageMargins left="0.7" right="0.7" top="0.75" bottom="0.75" header="0.3" footer="0.3"/>
  <pageSetup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7D8D-2EFF-C54C-9E36-96F048BDF4BB}">
  <dimension ref="A1:L18"/>
  <sheetViews>
    <sheetView zoomScale="64" zoomScaleNormal="64" workbookViewId="0">
      <selection activeCell="D18" sqref="D18"/>
    </sheetView>
  </sheetViews>
  <sheetFormatPr defaultColWidth="10.83203125" defaultRowHeight="20" customHeight="1"/>
  <cols>
    <col min="1" max="1" width="32.33203125" style="23" customWidth="1"/>
    <col min="2" max="12" width="14.83203125" style="23" customWidth="1"/>
    <col min="13" max="16384" width="10.83203125" style="23"/>
  </cols>
  <sheetData>
    <row r="1" spans="1:12" ht="20" customHeight="1">
      <c r="A1" s="32" t="s">
        <v>36</v>
      </c>
    </row>
    <row r="2" spans="1:12" ht="20" customHeight="1">
      <c r="A2" s="32"/>
    </row>
    <row r="3" spans="1:12" ht="20" customHeight="1">
      <c r="A3" s="32" t="s">
        <v>4</v>
      </c>
      <c r="B3" s="35">
        <v>0.18</v>
      </c>
    </row>
    <row r="5" spans="1:12" ht="20" customHeight="1">
      <c r="B5" s="46" t="s">
        <v>0</v>
      </c>
      <c r="C5" s="46"/>
      <c r="D5" s="46"/>
      <c r="E5" s="46"/>
      <c r="F5" s="46"/>
      <c r="G5" s="46"/>
      <c r="H5" s="46"/>
      <c r="I5" s="46"/>
      <c r="J5" s="46"/>
      <c r="K5" s="46"/>
      <c r="L5" s="46"/>
    </row>
    <row r="6" spans="1:12" ht="20" customHeight="1">
      <c r="B6" s="24">
        <v>0</v>
      </c>
      <c r="C6" s="24">
        <v>1</v>
      </c>
      <c r="D6" s="24">
        <v>2</v>
      </c>
      <c r="E6" s="24">
        <v>3</v>
      </c>
      <c r="F6" s="24">
        <v>4</v>
      </c>
      <c r="G6" s="24">
        <v>5</v>
      </c>
      <c r="H6" s="24">
        <v>6</v>
      </c>
      <c r="I6" s="24">
        <v>7</v>
      </c>
      <c r="J6" s="24">
        <v>8</v>
      </c>
      <c r="K6" s="24">
        <v>9</v>
      </c>
      <c r="L6" s="24">
        <v>10</v>
      </c>
    </row>
    <row r="7" spans="1:12" ht="20" customHeight="1">
      <c r="A7" s="25" t="s">
        <v>28</v>
      </c>
      <c r="B7" s="26">
        <f>'3.  CF-Operations'!B8</f>
        <v>0</v>
      </c>
      <c r="C7" s="26">
        <f>'3.  CF-Operations'!C8</f>
        <v>6327680</v>
      </c>
      <c r="D7" s="26">
        <f>'3.  CF-Operations'!D8</f>
        <v>7806780</v>
      </c>
      <c r="E7" s="26">
        <f>'3.  CF-Operations'!E8</f>
        <v>8807384.6000000034</v>
      </c>
      <c r="F7" s="26">
        <f>'3.  CF-Operations'!F8</f>
        <v>10308020.358800005</v>
      </c>
      <c r="G7" s="26">
        <f>'3.  CF-Operations'!G8</f>
        <v>11629330.206786409</v>
      </c>
      <c r="H7" s="26">
        <f>'3.  CF-Operations'!H8</f>
        <v>13272296.732915755</v>
      </c>
      <c r="I7" s="26">
        <f>'3.  CF-Operations'!I8</f>
        <v>15502902.553083185</v>
      </c>
      <c r="J7" s="26">
        <f>'3.  CF-Operations'!J8</f>
        <v>17363469.526723672</v>
      </c>
      <c r="K7" s="26">
        <f>'3.  CF-Operations'!K8</f>
        <v>19461198.76975812</v>
      </c>
      <c r="L7" s="26">
        <f>'3.  CF-Operations'!L8</f>
        <v>22009153.611744262</v>
      </c>
    </row>
    <row r="8" spans="1:12" ht="20" customHeight="1">
      <c r="A8" s="25" t="s">
        <v>29</v>
      </c>
      <c r="B8" s="26">
        <f>'4. CF-NWC'!B10</f>
        <v>-2500000</v>
      </c>
      <c r="C8" s="26">
        <f>'4. CF-NWC'!C10</f>
        <v>-1250000</v>
      </c>
      <c r="D8" s="26">
        <f>'4. CF-NWC'!D10</f>
        <v>-375000</v>
      </c>
      <c r="E8" s="26">
        <f>'4. CF-NWC'!E10</f>
        <v>-412500</v>
      </c>
      <c r="F8" s="26">
        <f>'4. CF-NWC'!F10</f>
        <v>-453750.00000000093</v>
      </c>
      <c r="G8" s="26">
        <f>'4. CF-NWC'!G10</f>
        <v>-499125.00000000093</v>
      </c>
      <c r="H8" s="26">
        <f>'4. CF-NWC'!H10</f>
        <v>-549037.50000000093</v>
      </c>
      <c r="I8" s="26">
        <f>'4. CF-NWC'!I10</f>
        <v>-603941.25000000186</v>
      </c>
      <c r="J8" s="26">
        <f>'4. CF-NWC'!J10</f>
        <v>-664335.375</v>
      </c>
      <c r="K8" s="26">
        <f>'4. CF-NWC'!K10</f>
        <v>-730768.91250000056</v>
      </c>
      <c r="L8" s="26">
        <f>'4. CF-NWC'!L10</f>
        <v>8038458.0375000052</v>
      </c>
    </row>
    <row r="9" spans="1:12" ht="20" customHeight="1">
      <c r="A9" s="25" t="s">
        <v>30</v>
      </c>
      <c r="B9" s="26">
        <f>'5. CF-Capital Spending'!B8</f>
        <v>-20000000</v>
      </c>
      <c r="C9" s="26">
        <f>'5. CF-Capital Spending'!C8</f>
        <v>0</v>
      </c>
      <c r="D9" s="26">
        <f>'5. CF-Capital Spending'!D8</f>
        <v>0</v>
      </c>
      <c r="E9" s="26">
        <f>'5. CF-Capital Spending'!E8</f>
        <v>0</v>
      </c>
      <c r="F9" s="26">
        <f>'5. CF-Capital Spending'!F8</f>
        <v>0</v>
      </c>
      <c r="G9" s="26">
        <f>'5. CF-Capital Spending'!G8</f>
        <v>0</v>
      </c>
      <c r="H9" s="26">
        <f>'5. CF-Capital Spending'!H8</f>
        <v>0</v>
      </c>
      <c r="I9" s="26">
        <f>'5. CF-Capital Spending'!I8</f>
        <v>0</v>
      </c>
      <c r="J9" s="26">
        <f>'5. CF-Capital Spending'!J8</f>
        <v>0</v>
      </c>
      <c r="K9" s="26">
        <f>'5. CF-Capital Spending'!K8</f>
        <v>0</v>
      </c>
      <c r="L9" s="26">
        <f>'5. CF-Capital Spending'!L8</f>
        <v>1580000</v>
      </c>
    </row>
    <row r="10" spans="1:12" ht="20" customHeight="1">
      <c r="A10" s="24" t="s">
        <v>26</v>
      </c>
      <c r="B10" s="27">
        <f>SUM(B7:B9)</f>
        <v>-22500000</v>
      </c>
      <c r="C10" s="27">
        <f t="shared" ref="C10:L10" si="0">SUM(C7:C9)</f>
        <v>5077680</v>
      </c>
      <c r="D10" s="27">
        <f t="shared" si="0"/>
        <v>7431780</v>
      </c>
      <c r="E10" s="27">
        <f t="shared" si="0"/>
        <v>8394884.6000000034</v>
      </c>
      <c r="F10" s="27">
        <f t="shared" si="0"/>
        <v>9854270.3588000052</v>
      </c>
      <c r="G10" s="27">
        <f t="shared" si="0"/>
        <v>11130205.206786409</v>
      </c>
      <c r="H10" s="27">
        <f t="shared" si="0"/>
        <v>12723259.232915755</v>
      </c>
      <c r="I10" s="27">
        <f t="shared" si="0"/>
        <v>14898961.303083183</v>
      </c>
      <c r="J10" s="27">
        <f t="shared" si="0"/>
        <v>16699134.151723672</v>
      </c>
      <c r="K10" s="27">
        <f t="shared" si="0"/>
        <v>18730429.857258119</v>
      </c>
      <c r="L10" s="27">
        <f t="shared" si="0"/>
        <v>31627611.649244267</v>
      </c>
    </row>
    <row r="11" spans="1:12" ht="20" customHeight="1">
      <c r="A11" s="43" t="s">
        <v>44</v>
      </c>
      <c r="B11" s="44">
        <f>B10</f>
        <v>-22500000</v>
      </c>
      <c r="C11" s="44">
        <f>B11+C10</f>
        <v>-17422320</v>
      </c>
      <c r="D11" s="44">
        <f t="shared" ref="D11:L11" si="1">C11+D10</f>
        <v>-9990540</v>
      </c>
      <c r="E11" s="44">
        <f t="shared" si="1"/>
        <v>-1595655.3999999966</v>
      </c>
      <c r="F11" s="44">
        <f t="shared" si="1"/>
        <v>8258614.9588000085</v>
      </c>
      <c r="G11" s="44">
        <f t="shared" si="1"/>
        <v>19388820.165586419</v>
      </c>
      <c r="H11" s="44">
        <f t="shared" si="1"/>
        <v>32112079.398502175</v>
      </c>
      <c r="I11" s="44">
        <f t="shared" si="1"/>
        <v>47011040.70158536</v>
      </c>
      <c r="J11" s="44">
        <f t="shared" si="1"/>
        <v>63710174.853309035</v>
      </c>
      <c r="K11" s="44">
        <f t="shared" si="1"/>
        <v>82440604.710567147</v>
      </c>
      <c r="L11" s="44">
        <f t="shared" si="1"/>
        <v>114068216.35981141</v>
      </c>
    </row>
    <row r="12" spans="1:12" ht="20" customHeight="1">
      <c r="B12" s="34"/>
      <c r="C12" s="34"/>
      <c r="D12" s="34"/>
      <c r="E12" s="34"/>
      <c r="F12" s="34"/>
      <c r="G12" s="34"/>
      <c r="H12" s="34"/>
      <c r="I12" s="34"/>
      <c r="J12" s="34"/>
      <c r="K12" s="34"/>
      <c r="L12" s="34"/>
    </row>
    <row r="13" spans="1:12" ht="20" customHeight="1">
      <c r="B13" s="34"/>
      <c r="C13" s="34"/>
      <c r="D13" s="34"/>
      <c r="E13" s="34"/>
      <c r="F13" s="34"/>
      <c r="G13" s="34"/>
      <c r="H13" s="34"/>
      <c r="I13" s="34"/>
      <c r="J13" s="34"/>
      <c r="K13" s="34"/>
      <c r="L13" s="34"/>
    </row>
    <row r="14" spans="1:12" ht="20" customHeight="1">
      <c r="A14" s="28" t="s">
        <v>38</v>
      </c>
      <c r="B14" s="29">
        <f>NPV(B3,C10:L10)</f>
        <v>48796393.8547123</v>
      </c>
      <c r="C14"/>
    </row>
    <row r="15" spans="1:12" ht="20" customHeight="1" thickBot="1">
      <c r="A15" s="41" t="s">
        <v>27</v>
      </c>
      <c r="B15" s="42">
        <f>B10</f>
        <v>-22500000</v>
      </c>
      <c r="C15"/>
    </row>
    <row r="16" spans="1:12" ht="20" customHeight="1">
      <c r="A16" s="39" t="s">
        <v>2</v>
      </c>
      <c r="B16" s="40">
        <f>B14+B15</f>
        <v>26296393.8547123</v>
      </c>
      <c r="C16"/>
    </row>
    <row r="17" spans="1:3" ht="20" customHeight="1">
      <c r="A17" s="1" t="s">
        <v>3</v>
      </c>
      <c r="B17" s="30">
        <f>IRR(B10:L10)</f>
        <v>0.38266942049176467</v>
      </c>
      <c r="C17"/>
    </row>
    <row r="18" spans="1:3" ht="20" customHeight="1">
      <c r="A18" s="1" t="s">
        <v>39</v>
      </c>
      <c r="B18" s="31">
        <f>3+(-E11/F10)</f>
        <v>3.1619252711668353</v>
      </c>
      <c r="C18" s="45"/>
    </row>
  </sheetData>
  <mergeCells count="1">
    <mergeCell ref="B5:L5"/>
  </mergeCells>
  <pageMargins left="0.7" right="0.7" top="0.75" bottom="0.75" header="0.3" footer="0.3"/>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0. The Problem</vt:lpstr>
      <vt:lpstr>1.  Pro Forma Income Statement</vt:lpstr>
      <vt:lpstr>2.  Depreciation</vt:lpstr>
      <vt:lpstr>3.  CF-Operations</vt:lpstr>
      <vt:lpstr>4. CF-NWC</vt:lpstr>
      <vt:lpstr>5. CF-Capital Spending</vt:lpstr>
      <vt:lpstr>6.  Final Analysis-NPV_IRR_PBP</vt:lpstr>
      <vt:lpstr>'1.  Pro Forma Income Statement'!Print_Area</vt:lpstr>
      <vt:lpstr>'2.  Depreciation'!Print_Area</vt:lpstr>
      <vt:lpstr>'3.  CF-Operations'!Print_Area</vt:lpstr>
      <vt:lpstr>'4. CF-NWC'!Print_Area</vt:lpstr>
      <vt:lpstr>'5. CF-Capital Spending'!Print_Area</vt:lpstr>
      <vt:lpstr>'6.  Final Analysis-NPV_IRR_PBP'!Print_Area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Readey</dc:creator>
  <cp:lastModifiedBy>Dani Novrian Ahmad Lbn Gaol</cp:lastModifiedBy>
  <cp:lastPrinted>2022-07-11T17:42:26Z</cp:lastPrinted>
  <dcterms:created xsi:type="dcterms:W3CDTF">2020-04-04T13:39:40Z</dcterms:created>
  <dcterms:modified xsi:type="dcterms:W3CDTF">2026-04-17T11:29:11Z</dcterms:modified>
</cp:coreProperties>
</file>