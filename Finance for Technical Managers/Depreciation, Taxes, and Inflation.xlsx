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NA\Coursera\Finance for Technical Managers\2_Project Valuation and the Capital Budgeting Process\Modul 4\"/>
    </mc:Choice>
  </mc:AlternateContent>
  <xr:revisionPtr revIDLastSave="0" documentId="13_ncr:1_{F8E31931-0CCE-463D-8690-E85D5773440F}" xr6:coauthVersionLast="47" xr6:coauthVersionMax="47" xr10:uidLastSave="{00000000-0000-0000-0000-000000000000}"/>
  <bookViews>
    <workbookView xWindow="0" yWindow="360" windowWidth="19420" windowHeight="10300" activeTab="1" xr2:uid="{CFEBC184-3A35-4C16-95EE-D6FE1CCB1D8F}"/>
  </bookViews>
  <sheets>
    <sheet name="Financial Statement Ex." sheetId="1" r:id="rId1"/>
    <sheet name="Depreciation Ex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2" l="1"/>
  <c r="F36" i="2"/>
  <c r="G35" i="2"/>
  <c r="F35" i="2"/>
  <c r="F34" i="2"/>
  <c r="F33" i="2"/>
  <c r="G34" i="2"/>
  <c r="G33" i="2"/>
  <c r="G32" i="2"/>
  <c r="F32" i="2"/>
  <c r="E34" i="2"/>
  <c r="E33" i="2"/>
  <c r="E32" i="2"/>
  <c r="G31" i="2"/>
  <c r="F20" i="2"/>
  <c r="E21" i="2" s="1"/>
  <c r="D10" i="2"/>
  <c r="D11" i="2" s="1"/>
  <c r="D12" i="2" s="1"/>
  <c r="D13" i="2" s="1"/>
  <c r="D14" i="2" s="1"/>
  <c r="D15" i="2" s="1"/>
  <c r="C11" i="2"/>
  <c r="C12" i="2" s="1"/>
  <c r="C13" i="2" s="1"/>
  <c r="C14" i="2" s="1"/>
  <c r="C15" i="2" s="1"/>
  <c r="B5" i="2"/>
  <c r="F21" i="2" l="1"/>
  <c r="E22" i="2" l="1"/>
  <c r="F22" i="2" s="1"/>
  <c r="E35" i="2" l="1"/>
  <c r="E23" i="2"/>
  <c r="F23" i="2"/>
  <c r="E24" i="2"/>
  <c r="F24" i="2" s="1"/>
  <c r="E25" i="2" s="1"/>
  <c r="E36" i="2" l="1"/>
</calcChain>
</file>

<file path=xl/sharedStrings.xml><?xml version="1.0" encoding="utf-8"?>
<sst xmlns="http://schemas.openxmlformats.org/spreadsheetml/2006/main" count="46" uniqueCount="34">
  <si>
    <t>Revenues</t>
  </si>
  <si>
    <t>Cost of Gods Sold, COGS</t>
  </si>
  <si>
    <t>Gross Profit</t>
  </si>
  <si>
    <t>Operating expenses</t>
  </si>
  <si>
    <t>R&amp;D</t>
  </si>
  <si>
    <t>Sales, General&amp;Admin</t>
  </si>
  <si>
    <t>Depreciation</t>
  </si>
  <si>
    <t>Amortization</t>
  </si>
  <si>
    <t>Total Operating Expenses</t>
  </si>
  <si>
    <t>Income Before Taxes</t>
  </si>
  <si>
    <t>Income Taxes (@ 21%)</t>
  </si>
  <si>
    <t>Net Income (PAT)</t>
  </si>
  <si>
    <t>Cost Basis</t>
  </si>
  <si>
    <t>Recovery Period</t>
  </si>
  <si>
    <t>Salvage Value</t>
  </si>
  <si>
    <t>Depreciation/Yr</t>
  </si>
  <si>
    <t xml:space="preserve">Annual </t>
  </si>
  <si>
    <t>Acumulated</t>
  </si>
  <si>
    <t>Book</t>
  </si>
  <si>
    <t>Year</t>
  </si>
  <si>
    <t>Value</t>
  </si>
  <si>
    <t>Equipment Cost</t>
  </si>
  <si>
    <t>Recovery Period, N</t>
  </si>
  <si>
    <t>Rate</t>
  </si>
  <si>
    <t>DDB</t>
  </si>
  <si>
    <t>End of Year</t>
  </si>
  <si>
    <t>Annual Depreciation</t>
  </si>
  <si>
    <t>Book Value</t>
  </si>
  <si>
    <t xml:space="preserve">Depreciation Expense, (DB) </t>
  </si>
  <si>
    <t xml:space="preserve">Depreciation Expense, (SL) </t>
  </si>
  <si>
    <t>Method Used</t>
  </si>
  <si>
    <t>DB</t>
  </si>
  <si>
    <t>SL</t>
  </si>
  <si>
    <t>Book Value, (SL)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</si>
</sst>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1" fillId="2" borderId="1" xfId="0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0" xfId="0" applyNumberFormat="1" applyFill="1"/>
    <xf numFmtId="9" fontId="0" fillId="0" borderId="0" xfId="0" applyNumberFormat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'Depreciation Ex.'!$A$10:$A$15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'Depreciation Ex.'!$D$10:$D$15</c:f>
              <c:numCache>
                <c:formatCode>_-[$$-409]* #,##0_ ;_-[$$-409]* \-#,##0\ ;_-[$$-409]* "-"??_ ;_-@_ </c:formatCode>
                <c:ptCount val="6"/>
                <c:pt idx="0">
                  <c:v>10000</c:v>
                </c:pt>
                <c:pt idx="1">
                  <c:v>8500</c:v>
                </c:pt>
                <c:pt idx="2">
                  <c:v>7000</c:v>
                </c:pt>
                <c:pt idx="3">
                  <c:v>5500</c:v>
                </c:pt>
                <c:pt idx="4">
                  <c:v>4000</c:v>
                </c:pt>
                <c:pt idx="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56-4F5D-8642-DE056B0F0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787903"/>
        <c:axId val="1511053855"/>
      </c:scatterChart>
      <c:valAx>
        <c:axId val="147978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053855"/>
        <c:crosses val="autoZero"/>
        <c:crossBetween val="midCat"/>
      </c:valAx>
      <c:valAx>
        <c:axId val="151105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Book</a:t>
                </a:r>
                <a:r>
                  <a:rPr lang="en-ID" baseline="0"/>
                  <a:t>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78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'Depreciation Ex.'!$D$20:$D$25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'Depreciation Ex.'!$F$20:$F$25</c:f>
              <c:numCache>
                <c:formatCode>_-[$$-409]* #,##0_ ;_-[$$-409]* \-#,##0\ ;_-[$$-409]* "-"??_ ;_-@_ </c:formatCode>
                <c:ptCount val="6"/>
                <c:pt idx="0">
                  <c:v>80000</c:v>
                </c:pt>
                <c:pt idx="1">
                  <c:v>48000</c:v>
                </c:pt>
                <c:pt idx="2">
                  <c:v>28800</c:v>
                </c:pt>
                <c:pt idx="3">
                  <c:v>17280</c:v>
                </c:pt>
                <c:pt idx="4">
                  <c:v>10368</c:v>
                </c:pt>
                <c:pt idx="5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AE-403B-8764-26F5AF1FC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333535"/>
        <c:axId val="705335935"/>
      </c:scatterChart>
      <c:valAx>
        <c:axId val="70533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35935"/>
        <c:crosses val="autoZero"/>
        <c:crossBetween val="midCat"/>
      </c:valAx>
      <c:valAx>
        <c:axId val="7053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Book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3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'Depreciation Ex.'!$D$31:$D$36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'Depreciation Ex.'!$G$31:$G$36</c:f>
              <c:numCache>
                <c:formatCode>_-[$$-409]* #,##0_ ;_-[$$-409]* \-#,##0\ ;_-[$$-409]* "-"??_ ;_-@_ </c:formatCode>
                <c:ptCount val="6"/>
                <c:pt idx="0">
                  <c:v>80000</c:v>
                </c:pt>
                <c:pt idx="1">
                  <c:v>48000</c:v>
                </c:pt>
                <c:pt idx="2">
                  <c:v>28800</c:v>
                </c:pt>
                <c:pt idx="3">
                  <c:v>17280</c:v>
                </c:pt>
                <c:pt idx="4">
                  <c:v>8640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4-4344-855D-56AE9FBB9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1103"/>
        <c:axId val="101442543"/>
      </c:scatterChart>
      <c:valAx>
        <c:axId val="10144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2543"/>
        <c:crosses val="autoZero"/>
        <c:crossBetween val="midCat"/>
      </c:valAx>
      <c:valAx>
        <c:axId val="10144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Book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4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368301</xdr:colOff>
      <xdr:row>2</xdr:row>
      <xdr:rowOff>63500</xdr:rowOff>
    </xdr:from>
    <xdr:to>
      <xdr:col>7</xdr:col>
      <xdr:colOff>330201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6D2C80-C424-60A3-6266-652543D87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184150</xdr:colOff>
      <xdr:row>0</xdr:row>
      <xdr:rowOff>57150</xdr:rowOff>
    </xdr:from>
    <xdr:to>
      <xdr:col>4</xdr:col>
      <xdr:colOff>292100</xdr:colOff>
      <xdr:row>1</xdr:row>
      <xdr:rowOff>146050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C7FDEBF-DFB6-2B17-18E6-39691E1726B8}"/>
            </a:ext>
          </a:extLst>
        </xdr:cNvPr>
        <xdr:cNvSpPr/>
      </xdr:nvSpPr>
      <xdr:spPr>
        <a:xfrm>
          <a:off x="1981200" y="57150"/>
          <a:ext cx="1701800" cy="2730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Straight Line Depreciation</a:t>
          </a:r>
        </a:p>
      </xdr:txBody>
    </xdr:sp>
    <xdr:clientData/>
  </xdr:twoCellAnchor>
  <xdr:twoCellAnchor>
    <xdr:from>
      <xdr:col>0</xdr:col>
      <xdr:colOff>114300</xdr:colOff>
      <xdr:row>16</xdr:row>
      <xdr:rowOff>25400</xdr:rowOff>
    </xdr:from>
    <xdr:to>
      <xdr:col>2</xdr:col>
      <xdr:colOff>603250</xdr:colOff>
      <xdr:row>17</xdr:row>
      <xdr:rowOff>133350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340A5B-A157-ADC0-D8B2-1A231D102A8F}"/>
            </a:ext>
          </a:extLst>
        </xdr:cNvPr>
        <xdr:cNvSpPr/>
      </xdr:nvSpPr>
      <xdr:spPr>
        <a:xfrm>
          <a:off x="114300" y="2971800"/>
          <a:ext cx="2286000" cy="2921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Declining Balance (DB) Depreciation</a:t>
          </a:r>
        </a:p>
      </xdr:txBody>
    </xdr:sp>
    <xdr:clientData/>
  </xdr:twoCellAnchor>
  <xdr:twoCellAnchor editAs="absolute">
    <xdr:from>
      <xdr:col>5</xdr:col>
      <xdr:colOff>917575</xdr:colOff>
      <xdr:row>15</xdr:row>
      <xdr:rowOff>114300</xdr:rowOff>
    </xdr:from>
    <xdr:to>
      <xdr:col>8</xdr:col>
      <xdr:colOff>552450</xdr:colOff>
      <xdr:row>25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ADA0A0-D5B4-7BA2-CC37-A99814AB8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25</xdr:row>
      <xdr:rowOff>88900</xdr:rowOff>
    </xdr:from>
    <xdr:to>
      <xdr:col>1</xdr:col>
      <xdr:colOff>666750</xdr:colOff>
      <xdr:row>27</xdr:row>
      <xdr:rowOff>25400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EEAF8CD-F04C-4B9A-040C-51824F57B719}"/>
            </a:ext>
          </a:extLst>
        </xdr:cNvPr>
        <xdr:cNvSpPr/>
      </xdr:nvSpPr>
      <xdr:spPr>
        <a:xfrm>
          <a:off x="63500" y="4692650"/>
          <a:ext cx="1866900" cy="3048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DDL-to-SL</a:t>
          </a:r>
          <a:r>
            <a:rPr lang="en-ID" sz="1100" baseline="0"/>
            <a:t> Switching Example</a:t>
          </a:r>
        </a:p>
        <a:p>
          <a:pPr algn="l"/>
          <a:endParaRPr lang="en-ID" sz="1100"/>
        </a:p>
      </xdr:txBody>
    </xdr:sp>
    <xdr:clientData/>
  </xdr:twoCellAnchor>
  <xdr:twoCellAnchor>
    <xdr:from>
      <xdr:col>0</xdr:col>
      <xdr:colOff>219075</xdr:colOff>
      <xdr:row>37</xdr:row>
      <xdr:rowOff>57150</xdr:rowOff>
    </xdr:from>
    <xdr:to>
      <xdr:col>4</xdr:col>
      <xdr:colOff>1123950</xdr:colOff>
      <xdr:row>47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ACF5CA-B437-74E0-129B-1C92A9AA3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8428-CC27-4AB0-9D23-EB1C6EEBF9B4}">
  <dimension ref="B2:C16"/>
  <sheetViews>
    <sheetView topLeftCell="A19" workbookViewId="0">
      <selection activeCell="E4" sqref="E4"/>
    </sheetView>
  </sheetViews>
  <sheetFormatPr defaultRowHeight="14.5" x14ac:dyDescent="0.35"/>
  <cols>
    <col min="2" max="2" width="22.36328125" bestFit="1" customWidth="1"/>
    <col min="3" max="3" width="13.54296875" bestFit="1" customWidth="1"/>
  </cols>
  <sheetData>
    <row r="2" spans="2:3" x14ac:dyDescent="0.35">
      <c r="B2" s="3"/>
      <c r="C2" s="4">
        <v>2022</v>
      </c>
    </row>
    <row r="3" spans="2:3" x14ac:dyDescent="0.35">
      <c r="B3" s="4" t="s">
        <v>0</v>
      </c>
      <c r="C3" s="5">
        <v>1000000</v>
      </c>
    </row>
    <row r="4" spans="2:3" x14ac:dyDescent="0.35">
      <c r="B4" s="4" t="s">
        <v>1</v>
      </c>
      <c r="C4" s="5">
        <v>600000</v>
      </c>
    </row>
    <row r="5" spans="2:3" x14ac:dyDescent="0.35">
      <c r="B5" s="6" t="s">
        <v>2</v>
      </c>
      <c r="C5" s="5">
        <v>400000</v>
      </c>
    </row>
    <row r="6" spans="2:3" x14ac:dyDescent="0.35">
      <c r="B6" s="4"/>
      <c r="C6" s="5"/>
    </row>
    <row r="7" spans="2:3" x14ac:dyDescent="0.35">
      <c r="B7" s="6" t="s">
        <v>3</v>
      </c>
      <c r="C7" s="5"/>
    </row>
    <row r="8" spans="2:3" x14ac:dyDescent="0.35">
      <c r="B8" s="4" t="s">
        <v>4</v>
      </c>
      <c r="C8" s="5">
        <v>30000</v>
      </c>
    </row>
    <row r="9" spans="2:3" x14ac:dyDescent="0.35">
      <c r="B9" s="4" t="s">
        <v>5</v>
      </c>
      <c r="C9" s="5">
        <v>170000</v>
      </c>
    </row>
    <row r="10" spans="2:3" x14ac:dyDescent="0.35">
      <c r="B10" s="4" t="s">
        <v>6</v>
      </c>
      <c r="C10" s="5">
        <v>25000</v>
      </c>
    </row>
    <row r="11" spans="2:3" x14ac:dyDescent="0.35">
      <c r="B11" s="4" t="s">
        <v>7</v>
      </c>
      <c r="C11" s="5">
        <v>5000</v>
      </c>
    </row>
    <row r="12" spans="2:3" x14ac:dyDescent="0.35">
      <c r="B12" s="6" t="s">
        <v>8</v>
      </c>
      <c r="C12" s="5">
        <v>230000</v>
      </c>
    </row>
    <row r="13" spans="2:3" x14ac:dyDescent="0.35">
      <c r="B13" s="4"/>
      <c r="C13" s="5"/>
    </row>
    <row r="14" spans="2:3" x14ac:dyDescent="0.35">
      <c r="B14" s="6" t="s">
        <v>9</v>
      </c>
      <c r="C14" s="5">
        <v>170000</v>
      </c>
    </row>
    <row r="15" spans="2:3" x14ac:dyDescent="0.35">
      <c r="B15" s="4" t="s">
        <v>10</v>
      </c>
      <c r="C15" s="5">
        <v>35700</v>
      </c>
    </row>
    <row r="16" spans="2:3" x14ac:dyDescent="0.35">
      <c r="B16" s="6" t="s">
        <v>11</v>
      </c>
      <c r="C16" s="5">
        <v>134300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9AFC-70B8-4CAC-AB95-CD69149570BB}">
  <dimension ref="A2:H36"/>
  <sheetViews>
    <sheetView tabSelected="1" topLeftCell="A21" workbookViewId="0">
      <selection activeCell="F65" sqref="F65"/>
    </sheetView>
  </sheetViews>
  <sheetFormatPr defaultRowHeight="14.5" x14ac:dyDescent="0.35"/>
  <cols>
    <col min="1" max="1" width="18.08984375" customWidth="1"/>
    <col min="2" max="3" width="11.453125" bestFit="1" customWidth="1"/>
    <col min="4" max="4" width="11.36328125" customWidth="1"/>
    <col min="5" max="5" width="23.26953125" customWidth="1"/>
    <col min="6" max="6" width="24.08984375" bestFit="1" customWidth="1"/>
    <col min="7" max="7" width="15.453125" customWidth="1"/>
    <col min="8" max="8" width="12.08984375" bestFit="1" customWidth="1"/>
  </cols>
  <sheetData>
    <row r="2" spans="1:4" x14ac:dyDescent="0.35">
      <c r="A2" t="s">
        <v>12</v>
      </c>
      <c r="B2" s="1">
        <v>10000</v>
      </c>
    </row>
    <row r="3" spans="1:4" x14ac:dyDescent="0.35">
      <c r="A3" t="s">
        <v>13</v>
      </c>
      <c r="B3">
        <v>5</v>
      </c>
    </row>
    <row r="4" spans="1:4" x14ac:dyDescent="0.35">
      <c r="A4" t="s">
        <v>14</v>
      </c>
      <c r="B4" s="1">
        <v>2500</v>
      </c>
    </row>
    <row r="5" spans="1:4" x14ac:dyDescent="0.35">
      <c r="A5" t="s">
        <v>15</v>
      </c>
      <c r="B5" s="1">
        <f>(B2-B4)/B3</f>
        <v>1500</v>
      </c>
    </row>
    <row r="8" spans="1:4" x14ac:dyDescent="0.35">
      <c r="B8" s="2" t="s">
        <v>16</v>
      </c>
      <c r="C8" s="7" t="s">
        <v>17</v>
      </c>
      <c r="D8" s="8" t="s">
        <v>18</v>
      </c>
    </row>
    <row r="9" spans="1:4" x14ac:dyDescent="0.35">
      <c r="A9" s="9" t="s">
        <v>19</v>
      </c>
      <c r="B9" s="2" t="s">
        <v>6</v>
      </c>
      <c r="C9" s="7" t="s">
        <v>6</v>
      </c>
      <c r="D9" s="8" t="s">
        <v>20</v>
      </c>
    </row>
    <row r="10" spans="1:4" x14ac:dyDescent="0.35">
      <c r="A10" s="2">
        <v>0</v>
      </c>
      <c r="B10" s="2"/>
      <c r="C10" s="10">
        <v>0</v>
      </c>
      <c r="D10" s="10">
        <f>B2</f>
        <v>10000</v>
      </c>
    </row>
    <row r="11" spans="1:4" x14ac:dyDescent="0.35">
      <c r="A11" s="2">
        <v>1</v>
      </c>
      <c r="B11" s="10">
        <v>1500</v>
      </c>
      <c r="C11" s="10">
        <f>C10+B11</f>
        <v>1500</v>
      </c>
      <c r="D11" s="10">
        <f>D10-B11</f>
        <v>8500</v>
      </c>
    </row>
    <row r="12" spans="1:4" x14ac:dyDescent="0.35">
      <c r="A12" s="2">
        <v>2</v>
      </c>
      <c r="B12" s="10">
        <v>1500</v>
      </c>
      <c r="C12" s="10">
        <f>C11+B12</f>
        <v>3000</v>
      </c>
      <c r="D12" s="10">
        <f>D11-B12</f>
        <v>7000</v>
      </c>
    </row>
    <row r="13" spans="1:4" x14ac:dyDescent="0.35">
      <c r="A13" s="2">
        <v>3</v>
      </c>
      <c r="B13" s="10">
        <v>1500</v>
      </c>
      <c r="C13" s="10">
        <f t="shared" ref="C13:C15" si="0">C12+B13</f>
        <v>4500</v>
      </c>
      <c r="D13" s="10">
        <f t="shared" ref="D13:D15" si="1">D12-B13</f>
        <v>5500</v>
      </c>
    </row>
    <row r="14" spans="1:4" x14ac:dyDescent="0.35">
      <c r="A14" s="2">
        <v>4</v>
      </c>
      <c r="B14" s="10">
        <v>1500</v>
      </c>
      <c r="C14" s="10">
        <f t="shared" si="0"/>
        <v>6000</v>
      </c>
      <c r="D14" s="10">
        <f t="shared" si="1"/>
        <v>4000</v>
      </c>
    </row>
    <row r="15" spans="1:4" x14ac:dyDescent="0.35">
      <c r="A15" s="2">
        <v>5</v>
      </c>
      <c r="B15" s="10">
        <v>1500</v>
      </c>
      <c r="C15" s="10">
        <f t="shared" si="0"/>
        <v>7500</v>
      </c>
      <c r="D15" s="10">
        <f t="shared" si="1"/>
        <v>2500</v>
      </c>
    </row>
    <row r="19" spans="1:8" x14ac:dyDescent="0.35">
      <c r="A19" t="s">
        <v>24</v>
      </c>
      <c r="B19" s="11">
        <v>2</v>
      </c>
      <c r="D19" t="s">
        <v>25</v>
      </c>
      <c r="E19" t="s">
        <v>26</v>
      </c>
      <c r="F19" t="s">
        <v>27</v>
      </c>
    </row>
    <row r="20" spans="1:8" x14ac:dyDescent="0.35">
      <c r="A20" t="s">
        <v>21</v>
      </c>
      <c r="B20" s="1">
        <v>80000</v>
      </c>
      <c r="D20">
        <v>0</v>
      </c>
      <c r="E20" s="1">
        <v>0</v>
      </c>
      <c r="F20" s="1">
        <f>B20</f>
        <v>80000</v>
      </c>
    </row>
    <row r="21" spans="1:8" x14ac:dyDescent="0.35">
      <c r="A21" t="s">
        <v>14</v>
      </c>
      <c r="B21" s="1">
        <v>10000</v>
      </c>
      <c r="D21">
        <v>1</v>
      </c>
      <c r="E21" s="1">
        <f>0.4*F20</f>
        <v>32000</v>
      </c>
      <c r="F21" s="1">
        <f>F20-E21</f>
        <v>48000</v>
      </c>
    </row>
    <row r="22" spans="1:8" x14ac:dyDescent="0.35">
      <c r="A22" t="s">
        <v>22</v>
      </c>
      <c r="B22">
        <v>5</v>
      </c>
      <c r="D22">
        <v>2</v>
      </c>
      <c r="E22" s="1">
        <f>0.4*F21</f>
        <v>19200</v>
      </c>
      <c r="F22" s="1">
        <f>F21-E22</f>
        <v>28800</v>
      </c>
    </row>
    <row r="23" spans="1:8" x14ac:dyDescent="0.35">
      <c r="A23" t="s">
        <v>23</v>
      </c>
      <c r="B23" s="11">
        <v>0.4</v>
      </c>
      <c r="D23">
        <v>3</v>
      </c>
      <c r="E23" s="1">
        <f>0.4*F22</f>
        <v>11520</v>
      </c>
      <c r="F23" s="1">
        <f>F22-E23</f>
        <v>17280</v>
      </c>
    </row>
    <row r="24" spans="1:8" x14ac:dyDescent="0.35">
      <c r="D24">
        <v>4</v>
      </c>
      <c r="E24" s="1">
        <f>0.4*F23</f>
        <v>6912</v>
      </c>
      <c r="F24" s="1">
        <f>F23-E24</f>
        <v>10368</v>
      </c>
    </row>
    <row r="25" spans="1:8" x14ac:dyDescent="0.35">
      <c r="D25">
        <v>5</v>
      </c>
      <c r="E25" s="1">
        <f>F24-F25</f>
        <v>368</v>
      </c>
      <c r="F25" s="1">
        <v>10000</v>
      </c>
    </row>
    <row r="30" spans="1:8" x14ac:dyDescent="0.35">
      <c r="A30" t="s">
        <v>24</v>
      </c>
      <c r="B30" s="11">
        <v>2</v>
      </c>
      <c r="D30" t="s">
        <v>19</v>
      </c>
      <c r="E30" t="s">
        <v>28</v>
      </c>
      <c r="F30" t="s">
        <v>29</v>
      </c>
      <c r="G30" t="s">
        <v>33</v>
      </c>
      <c r="H30" t="s">
        <v>30</v>
      </c>
    </row>
    <row r="31" spans="1:8" x14ac:dyDescent="0.35">
      <c r="A31" t="s">
        <v>21</v>
      </c>
      <c r="B31" s="1">
        <v>80000</v>
      </c>
      <c r="D31">
        <v>0</v>
      </c>
      <c r="E31" s="1">
        <v>0</v>
      </c>
      <c r="G31" s="1">
        <f>B31</f>
        <v>80000</v>
      </c>
    </row>
    <row r="32" spans="1:8" x14ac:dyDescent="0.35">
      <c r="A32" t="s">
        <v>14</v>
      </c>
      <c r="B32" s="1">
        <v>0</v>
      </c>
      <c r="D32">
        <v>1</v>
      </c>
      <c r="E32" s="1">
        <f>0.4*G31</f>
        <v>32000</v>
      </c>
      <c r="F32" s="1">
        <f>G31/D36</f>
        <v>16000</v>
      </c>
      <c r="G32" s="1">
        <f>G31-E32</f>
        <v>48000</v>
      </c>
      <c r="H32" t="s">
        <v>31</v>
      </c>
    </row>
    <row r="33" spans="1:8" x14ac:dyDescent="0.35">
      <c r="A33" t="s">
        <v>22</v>
      </c>
      <c r="B33">
        <v>5</v>
      </c>
      <c r="D33">
        <v>2</v>
      </c>
      <c r="E33" s="1">
        <f>0.4*G32</f>
        <v>19200</v>
      </c>
      <c r="F33" s="1">
        <f>G32/D35</f>
        <v>12000</v>
      </c>
      <c r="G33" s="1">
        <f>G32-E33</f>
        <v>28800</v>
      </c>
      <c r="H33" t="s">
        <v>31</v>
      </c>
    </row>
    <row r="34" spans="1:8" x14ac:dyDescent="0.35">
      <c r="A34" t="s">
        <v>23</v>
      </c>
      <c r="B34" s="11">
        <v>0.4</v>
      </c>
      <c r="D34" s="12">
        <v>3</v>
      </c>
      <c r="E34" s="13">
        <f>0.4*G33</f>
        <v>11520</v>
      </c>
      <c r="F34" s="13">
        <f>G33/D34</f>
        <v>9600</v>
      </c>
      <c r="G34" s="13">
        <f>G33-E34</f>
        <v>17280</v>
      </c>
      <c r="H34" s="12" t="s">
        <v>31</v>
      </c>
    </row>
    <row r="35" spans="1:8" x14ac:dyDescent="0.35">
      <c r="D35">
        <v>4</v>
      </c>
      <c r="E35" s="1">
        <f>0.4*G34</f>
        <v>6912</v>
      </c>
      <c r="F35" s="1">
        <f>G34/D33</f>
        <v>8640</v>
      </c>
      <c r="G35" s="1">
        <f>G34-F35</f>
        <v>8640</v>
      </c>
      <c r="H35" t="s">
        <v>32</v>
      </c>
    </row>
    <row r="36" spans="1:8" x14ac:dyDescent="0.35">
      <c r="D36">
        <v>5</v>
      </c>
      <c r="E36" s="1">
        <f>G35-G36</f>
        <v>8640</v>
      </c>
      <c r="F36" s="1">
        <f>G35/D32</f>
        <v>8640</v>
      </c>
      <c r="G36" s="1">
        <f>G35-F36</f>
        <v>0</v>
      </c>
      <c r="H36" t="s">
        <v>32</v>
      </c>
    </row>
  </sheetData>
  <conditionalFormatting sqref="D19:F1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{EBF1E75E-6E42-4E52-8AEF-C4B6EA27C047}</x14:id>
        </ext>
      </extLst>
    </cfRule>
  </conditionalFormatting>
  <conditionalFormatting sqref="D30:H3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{CB4D9FF4-90A6-4809-9AD0-4341DD208D51}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F1E75E-6E42-4E52-8AEF-C4B6EA27C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D19:F19</xm:sqref>
        </x14:conditionalFormatting>
        <x14:conditionalFormatting xmlns:xm="http://schemas.microsoft.com/office/excel/2006/main">
          <x14:cfRule type="dataBar" id="{CB4D9FF4-90A6-4809-9AD0-4341DD208D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D30:H30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Statement Ex.</vt:lpstr>
      <vt:lpstr>Depreciation Ex.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Novrian Ahmad Lbn Gaol</dc:creator>
  <cp:lastModifiedBy>Dani Novrian Ahmad Lbn Gaol</cp:lastModifiedBy>
  <dcterms:created xsi:type="dcterms:W3CDTF">2026-04-16T12:20:09Z</dcterms:created>
  <dcterms:modified xsi:type="dcterms:W3CDTF">2026-04-17T03:41:34Z</dcterms:modified>
</cp:coreProperties>
</file>