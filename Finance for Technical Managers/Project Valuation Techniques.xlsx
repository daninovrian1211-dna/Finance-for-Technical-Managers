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NA\Coursera\Finance for Technical Managers\2_Project Valuation and the Capital Budgeting Process\Modul 2\"/>
    </mc:Choice>
  </mc:AlternateContent>
  <xr:revisionPtr revIDLastSave="0" documentId="13_ncr:1_{4762A8D1-C5C5-49C2-B311-3D4EA1C66989}" xr6:coauthVersionLast="47" xr6:coauthVersionMax="47" xr10:uidLastSave="{00000000-0000-0000-0000-000000000000}"/>
  <bookViews>
    <workbookView xWindow="-110" yWindow="-110" windowWidth="19420" windowHeight="10300" activeTab="2" xr2:uid="{A251726C-EA0B-4D03-9ECC-9A1017A1A6C4}"/>
  </bookViews>
  <sheets>
    <sheet name="NPV" sheetId="1" r:id="rId1"/>
    <sheet name="IRR" sheetId="2" r:id="rId2"/>
    <sheet name="PB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6" i="3" l="1"/>
  <c r="H27" i="3" s="1"/>
  <c r="G26" i="3"/>
  <c r="G27" i="3" s="1"/>
  <c r="F26" i="3"/>
  <c r="F27" i="3" s="1"/>
  <c r="E26" i="3"/>
  <c r="E27" i="3" s="1"/>
  <c r="D26" i="3"/>
  <c r="D27" i="3" s="1"/>
  <c r="C26" i="3"/>
  <c r="C27" i="3" s="1"/>
  <c r="B26" i="3"/>
  <c r="B27" i="3" s="1"/>
  <c r="B28" i="3" s="1"/>
  <c r="C28" i="3" s="1"/>
  <c r="D28" i="3" s="1"/>
  <c r="E28" i="3" s="1"/>
  <c r="F28" i="3" s="1"/>
  <c r="B8" i="3"/>
  <c r="B38" i="2"/>
  <c r="J35" i="2"/>
  <c r="I35" i="2"/>
  <c r="H35" i="2"/>
  <c r="G35" i="2"/>
  <c r="F35" i="2"/>
  <c r="E35" i="2"/>
  <c r="D35" i="2"/>
  <c r="C35" i="2"/>
  <c r="B37" i="2" s="1"/>
  <c r="B39" i="2" s="1"/>
  <c r="B35" i="2"/>
  <c r="B41" i="2" s="1"/>
  <c r="B17" i="2"/>
  <c r="B14" i="2"/>
  <c r="B13" i="2"/>
  <c r="B15" i="2" s="1"/>
  <c r="C13" i="1"/>
  <c r="B16" i="1"/>
  <c r="G13" i="1"/>
  <c r="B15" i="1" s="1"/>
  <c r="D13" i="1"/>
  <c r="E13" i="1"/>
  <c r="F13" i="1"/>
  <c r="B13" i="1"/>
  <c r="G28" i="3" l="1"/>
  <c r="H28" i="3" s="1"/>
  <c r="B30" i="3"/>
  <c r="B17" i="1"/>
</calcChain>
</file>

<file path=xl/sharedStrings.xml><?xml version="1.0" encoding="utf-8"?>
<sst xmlns="http://schemas.openxmlformats.org/spreadsheetml/2006/main" count="50" uniqueCount="27">
  <si>
    <t>Rabbit Ridge Grape Crusher</t>
  </si>
  <si>
    <t>Initial investment</t>
  </si>
  <si>
    <t>Net Benefits</t>
  </si>
  <si>
    <t>Salvage Value</t>
  </si>
  <si>
    <t>Time (Years)</t>
  </si>
  <si>
    <t>Discount Rate</t>
  </si>
  <si>
    <t>End of Year Cash Flow</t>
  </si>
  <si>
    <t>Year</t>
  </si>
  <si>
    <t>Cash Flow</t>
  </si>
  <si>
    <t>PV</t>
  </si>
  <si>
    <t>Initial Investment</t>
  </si>
  <si>
    <t>NPV</t>
  </si>
  <si>
    <t>3D Printer Example</t>
  </si>
  <si>
    <t>Annual Profits</t>
  </si>
  <si>
    <t>End of Year CashFlow</t>
  </si>
  <si>
    <t>PV (Yr 1-5)</t>
  </si>
  <si>
    <t>Net Present Value, NPV</t>
  </si>
  <si>
    <t>Internal Rate of Return (IRR)</t>
  </si>
  <si>
    <t>Simple Payback Period</t>
  </si>
  <si>
    <t>Cumulative Cash Flow</t>
  </si>
  <si>
    <t>PBP Belong Here</t>
  </si>
  <si>
    <t>The exact Simple PBP (Years)</t>
  </si>
  <si>
    <t>Discounted Payback Period</t>
  </si>
  <si>
    <t>PV Factor</t>
  </si>
  <si>
    <t>PV (Cash Flow)</t>
  </si>
  <si>
    <t>PBP belong here</t>
  </si>
  <si>
    <t>The Exact Discounted PBP 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</si>
</sst>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??_ ;_-@_ 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9" fontId="0" fillId="0" borderId="0" xfId="0" applyNumberFormat="1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2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7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</c:numLit>
          </c:cat>
          <c:val>
            <c:numLit>
              <c:formatCode>General</c:formatCode>
              <c:ptCount val="7"/>
              <c:pt idx="0">
                <c:v>-48000</c:v>
              </c:pt>
              <c:pt idx="1">
                <c:v>-28000</c:v>
              </c:pt>
              <c:pt idx="2">
                <c:v>-10000</c:v>
              </c:pt>
              <c:pt idx="3">
                <c:v>5000</c:v>
              </c:pt>
              <c:pt idx="4">
                <c:v>17000</c:v>
              </c:pt>
              <c:pt idx="5">
                <c:v>27000</c:v>
              </c:pt>
              <c:pt idx="6">
                <c:v>37000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2AE6-42D5-8E93-2E946EB3900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94039535"/>
        <c:axId val="1194056335"/>
      </c:lineChart>
      <c:catAx>
        <c:axId val="1194039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>
                    <a:solidFill>
                      <a:schemeClr val="tx1"/>
                    </a:solidFill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50157633420822401"/>
              <c:y val="0.90747666958296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056335"/>
        <c:crosses val="autoZero"/>
        <c:auto val="1"/>
        <c:lblAlgn val="ctr"/>
        <c:lblOffset val="100"/>
        <c:noMultiLvlLbl val="0"/>
      </c:catAx>
      <c:valAx>
        <c:axId val="119405633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Cumulative Cas</a:t>
                </a:r>
                <a:r>
                  <a:rPr lang="en-ID" baseline="0"/>
                  <a:t>h Flow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326122776319626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194039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7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</c:numLit>
          </c:cat>
          <c:val>
            <c:numLit>
              <c:formatCode>General</c:formatCode>
              <c:ptCount val="7"/>
              <c:pt idx="0">
                <c:v>-48000</c:v>
              </c:pt>
              <c:pt idx="1">
                <c:v>-30608.695652173912</c:v>
              </c:pt>
              <c:pt idx="2">
                <c:v>-16998.109640831753</c:v>
              </c:pt>
              <c:pt idx="3">
                <c:v>-7135.3661543519283</c:v>
              </c:pt>
              <c:pt idx="4">
                <c:v>-274.32720723552757</c:v>
              </c:pt>
              <c:pt idx="5">
                <c:v>4697.4401457473714</c:v>
              </c:pt>
              <c:pt idx="6">
                <c:v>9020.716104862935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0904-468F-84C4-BE98FBA8DA3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1972895"/>
        <c:axId val="31970015"/>
      </c:lineChart>
      <c:catAx>
        <c:axId val="31972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Year</a:t>
                </a:r>
              </a:p>
            </c:rich>
          </c:tx>
          <c:layout>
            <c:manualLayout>
              <c:xMode val="edge"/>
              <c:yMode val="edge"/>
              <c:x val="0.50294444444444442"/>
              <c:y val="0.89821741032370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70015"/>
        <c:crosses val="autoZero"/>
        <c:auto val="1"/>
        <c:lblAlgn val="ctr"/>
        <c:lblOffset val="100"/>
        <c:noMultiLvlLbl val="0"/>
      </c:catAx>
      <c:valAx>
        <c:axId val="3197001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Cumulative Discounted Cash Flow</a:t>
                </a:r>
              </a:p>
              <a:p>
                <a:pPr>
                  <a:defRPr/>
                </a:pP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31972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12700</xdr:rowOff>
    </xdr:from>
    <xdr:to>
      <xdr:col>7</xdr:col>
      <xdr:colOff>19050</xdr:colOff>
      <xdr:row>7</xdr:row>
      <xdr:rowOff>25400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12B67B8-88C0-484D-8B8A-AC8BADE73E18}"/>
            </a:ext>
          </a:extLst>
        </xdr:cNvPr>
        <xdr:cNvSpPr/>
      </xdr:nvSpPr>
      <xdr:spPr>
        <a:xfrm>
          <a:off x="3352800" y="196850"/>
          <a:ext cx="3067050" cy="1117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D"/>
            <a:t>Ex 1. </a:t>
          </a:r>
        </a:p>
        <a:p>
          <a:pPr algn="l"/>
          <a:r>
            <a:rPr lang="en-ID"/>
            <a:t>Your company invests in a new 3D Printing Machine for $100,000. The anticipated profits resulting from the printer are $40,000 per year for 5 years. The discount rate = 16%. What is the actual rate of return? </a:t>
          </a:r>
          <a:endParaRPr lang="en-ID" sz="1100"/>
        </a:p>
      </xdr:txBody>
    </xdr:sp>
    <xdr:clientData/>
  </xdr:twoCellAnchor>
  <xdr:twoCellAnchor>
    <xdr:from>
      <xdr:col>3</xdr:col>
      <xdr:colOff>0</xdr:colOff>
      <xdr:row>25</xdr:row>
      <xdr:rowOff>12700</xdr:rowOff>
    </xdr:from>
    <xdr:to>
      <xdr:col>10</xdr:col>
      <xdr:colOff>598505</xdr:colOff>
      <xdr:row>31</xdr:row>
      <xdr:rowOff>25400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F4E2B4D-66D1-4625-8BC2-F444F4EF99C8}"/>
            </a:ext>
          </a:extLst>
        </xdr:cNvPr>
        <xdr:cNvSpPr/>
      </xdr:nvSpPr>
      <xdr:spPr>
        <a:xfrm>
          <a:off x="3352800" y="4616450"/>
          <a:ext cx="5475305" cy="1117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D"/>
            <a:t>Ex 2. </a:t>
          </a:r>
        </a:p>
        <a:p>
          <a:pPr algn="l"/>
          <a:r>
            <a:rPr lang="en-ID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 are performing a project valuation for a new piece of production equipment. The equipment costs $225,000 and is projected to result in future net cash flows of $50,000 per year, for 8 years. At the end of the period, the equipment has no value. Your company has a hurdle rate of 18%. What is the NPV for this project</a:t>
          </a:r>
          <a:endParaRPr lang="en-ID" sz="1100"/>
        </a:p>
      </xdr:txBody>
    </xdr:sp>
    <xdr:clientData/>
  </xdr:twoCellAnchor>
  <xdr:twoCellAnchor>
    <xdr:from>
      <xdr:col>0</xdr:col>
      <xdr:colOff>51093</xdr:colOff>
      <xdr:row>18</xdr:row>
      <xdr:rowOff>0</xdr:rowOff>
    </xdr:from>
    <xdr:to>
      <xdr:col>2</xdr:col>
      <xdr:colOff>167875</xdr:colOff>
      <xdr:row>20</xdr:row>
      <xdr:rowOff>167874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0BF3BE4-9B26-4069-A968-AA33F23A3FC0}"/>
            </a:ext>
          </a:extLst>
        </xdr:cNvPr>
        <xdr:cNvSpPr/>
      </xdr:nvSpPr>
      <xdr:spPr>
        <a:xfrm>
          <a:off x="51093" y="3314700"/>
          <a:ext cx="2707582" cy="536174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D" sz="1100"/>
            <a:t>Cause</a:t>
          </a:r>
          <a:r>
            <a:rPr lang="en-ID" sz="1100" baseline="0"/>
            <a:t> NPV&gt;0 and IRR&gt;Hurdle rate (Discount rate), the project is worthwile to undertake</a:t>
          </a:r>
        </a:p>
      </xdr:txBody>
    </xdr:sp>
    <xdr:clientData/>
  </xdr:twoCellAnchor>
  <xdr:twoCellAnchor>
    <xdr:from>
      <xdr:col>0</xdr:col>
      <xdr:colOff>153276</xdr:colOff>
      <xdr:row>42</xdr:row>
      <xdr:rowOff>7300</xdr:rowOff>
    </xdr:from>
    <xdr:to>
      <xdr:col>2</xdr:col>
      <xdr:colOff>394138</xdr:colOff>
      <xdr:row>44</xdr:row>
      <xdr:rowOff>102185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A8CA661-E1E4-40A1-BF7E-4D1A0BD32BBF}"/>
            </a:ext>
          </a:extLst>
        </xdr:cNvPr>
        <xdr:cNvSpPr/>
      </xdr:nvSpPr>
      <xdr:spPr>
        <a:xfrm>
          <a:off x="153276" y="7741600"/>
          <a:ext cx="2831662" cy="46318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D" sz="1100"/>
            <a:t>Cause</a:t>
          </a:r>
          <a:r>
            <a:rPr lang="en-ID" sz="1100" baseline="0"/>
            <a:t> NPV&gt;0 and IRR&gt;Hurdle rate (Discount rate), the project is worthwile to undertake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307975</xdr:colOff>
      <xdr:row>9</xdr:row>
      <xdr:rowOff>50800</xdr:rowOff>
    </xdr:from>
    <xdr:to>
      <xdr:col>8</xdr:col>
      <xdr:colOff>38100</xdr:colOff>
      <xdr:row>20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5D8960-3D2B-4CEC-9127-9A8BBAB7D5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92075</xdr:colOff>
      <xdr:row>30</xdr:row>
      <xdr:rowOff>57150</xdr:rowOff>
    </xdr:from>
    <xdr:to>
      <xdr:col>7</xdr:col>
      <xdr:colOff>746125</xdr:colOff>
      <xdr:row>45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1646B1-7B91-45F5-B0E5-23F19D0BAB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B5CB5-4B85-46ED-89AB-0BED8B106C12}">
  <dimension ref="A2:G17"/>
  <sheetViews>
    <sheetView workbookViewId="0">
      <selection activeCell="B7" sqref="B7"/>
    </sheetView>
  </sheetViews>
  <sheetFormatPr defaultRowHeight="14.5" x14ac:dyDescent="0.35"/>
  <cols>
    <col min="1" max="1" width="24" customWidth="1"/>
    <col min="2" max="2" width="10.90625" bestFit="1" customWidth="1"/>
    <col min="4" max="4" width="12" bestFit="1" customWidth="1"/>
    <col min="5" max="5" width="13.6328125" bestFit="1" customWidth="1"/>
    <col min="6" max="6" width="12" bestFit="1" customWidth="1"/>
  </cols>
  <sheetData>
    <row r="2" spans="1:7" x14ac:dyDescent="0.35">
      <c r="A2" t="s">
        <v>0</v>
      </c>
    </row>
    <row r="4" spans="1:7" x14ac:dyDescent="0.35">
      <c r="A4" t="s">
        <v>1</v>
      </c>
      <c r="B4" s="2">
        <v>100000</v>
      </c>
    </row>
    <row r="5" spans="1:7" x14ac:dyDescent="0.35">
      <c r="A5" t="s">
        <v>2</v>
      </c>
      <c r="B5" s="2">
        <v>40000</v>
      </c>
    </row>
    <row r="6" spans="1:7" x14ac:dyDescent="0.35">
      <c r="A6" t="s">
        <v>3</v>
      </c>
      <c r="B6" s="2">
        <v>20000</v>
      </c>
    </row>
    <row r="7" spans="1:7" x14ac:dyDescent="0.35">
      <c r="A7" t="s">
        <v>4</v>
      </c>
      <c r="B7">
        <v>5</v>
      </c>
    </row>
    <row r="8" spans="1:7" x14ac:dyDescent="0.35">
      <c r="A8" t="s">
        <v>5</v>
      </c>
      <c r="B8" s="1">
        <v>0.16</v>
      </c>
    </row>
    <row r="11" spans="1:7" x14ac:dyDescent="0.35">
      <c r="A11" s="6" t="s">
        <v>6</v>
      </c>
      <c r="B11" s="6"/>
      <c r="C11" s="6"/>
      <c r="D11" s="6"/>
      <c r="E11" s="6"/>
      <c r="F11" s="6"/>
      <c r="G11" s="6"/>
    </row>
    <row r="12" spans="1:7" x14ac:dyDescent="0.35">
      <c r="A12" t="s">
        <v>7</v>
      </c>
      <c r="B12">
        <v>0</v>
      </c>
      <c r="C12">
        <v>1</v>
      </c>
      <c r="D12">
        <v>2</v>
      </c>
      <c r="E12">
        <v>3</v>
      </c>
      <c r="F12">
        <v>4</v>
      </c>
      <c r="G12">
        <v>5</v>
      </c>
    </row>
    <row r="13" spans="1:7" x14ac:dyDescent="0.35">
      <c r="A13" t="s">
        <v>8</v>
      </c>
      <c r="B13" s="2">
        <f>B4</f>
        <v>100000</v>
      </c>
      <c r="C13" s="2">
        <f>$B$5</f>
        <v>40000</v>
      </c>
      <c r="D13" s="2">
        <f>$B$5</f>
        <v>40000</v>
      </c>
      <c r="E13" s="2">
        <f>$B$5</f>
        <v>40000</v>
      </c>
      <c r="F13" s="2">
        <f>$B$5</f>
        <v>40000</v>
      </c>
      <c r="G13" s="2">
        <f>B5+B6</f>
        <v>60000</v>
      </c>
    </row>
    <row r="15" spans="1:7" x14ac:dyDescent="0.35">
      <c r="A15" t="s">
        <v>9</v>
      </c>
      <c r="B15" s="2">
        <f>NPV(B8,C13:G13)</f>
        <v>140494.00645473349</v>
      </c>
    </row>
    <row r="16" spans="1:7" x14ac:dyDescent="0.35">
      <c r="A16" t="s">
        <v>10</v>
      </c>
      <c r="B16" s="2">
        <f>B4</f>
        <v>100000</v>
      </c>
    </row>
    <row r="17" spans="1:2" x14ac:dyDescent="0.35">
      <c r="A17" t="s">
        <v>11</v>
      </c>
      <c r="B17" s="2">
        <f>B15-B16</f>
        <v>40494.006454733491</v>
      </c>
    </row>
  </sheetData>
  <mergeCells count="1">
    <mergeCell ref="A11:G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CEB98-3D58-47A1-8A9D-9F74ADFFFE16}">
  <dimension ref="A1:J43"/>
  <sheetViews>
    <sheetView topLeftCell="A28" workbookViewId="0">
      <selection activeCell="I6" sqref="I6"/>
    </sheetView>
  </sheetViews>
  <sheetFormatPr defaultRowHeight="14.5" x14ac:dyDescent="0.35"/>
  <cols>
    <col min="1" max="1" width="24.54296875" bestFit="1" customWidth="1"/>
    <col min="2" max="2" width="12.54296875" bestFit="1" customWidth="1"/>
    <col min="3" max="7" width="10.90625" bestFit="1" customWidth="1"/>
  </cols>
  <sheetData>
    <row r="1" spans="1:7" x14ac:dyDescent="0.35">
      <c r="A1" t="s">
        <v>12</v>
      </c>
    </row>
    <row r="4" spans="1:7" x14ac:dyDescent="0.35">
      <c r="A4" t="s">
        <v>10</v>
      </c>
      <c r="B4" s="2">
        <v>100000</v>
      </c>
    </row>
    <row r="5" spans="1:7" x14ac:dyDescent="0.35">
      <c r="A5" t="s">
        <v>13</v>
      </c>
      <c r="B5" s="2">
        <v>40000</v>
      </c>
    </row>
    <row r="6" spans="1:7" x14ac:dyDescent="0.35">
      <c r="A6" t="s">
        <v>4</v>
      </c>
      <c r="B6">
        <v>5</v>
      </c>
    </row>
    <row r="7" spans="1:7" x14ac:dyDescent="0.35">
      <c r="A7" t="s">
        <v>5</v>
      </c>
      <c r="B7" s="1">
        <v>0.16</v>
      </c>
    </row>
    <row r="9" spans="1:7" x14ac:dyDescent="0.35">
      <c r="A9" s="6" t="s">
        <v>14</v>
      </c>
      <c r="B9" s="6"/>
      <c r="C9" s="6"/>
      <c r="D9" s="6"/>
      <c r="E9" s="6"/>
      <c r="F9" s="6"/>
      <c r="G9" s="6"/>
    </row>
    <row r="10" spans="1:7" x14ac:dyDescent="0.35">
      <c r="A10" t="s">
        <v>7</v>
      </c>
      <c r="B10">
        <v>0</v>
      </c>
      <c r="C10">
        <v>1</v>
      </c>
      <c r="D10">
        <v>2</v>
      </c>
      <c r="E10">
        <v>3</v>
      </c>
      <c r="F10">
        <v>4</v>
      </c>
      <c r="G10">
        <v>5</v>
      </c>
    </row>
    <row r="11" spans="1:7" x14ac:dyDescent="0.35">
      <c r="A11" t="s">
        <v>8</v>
      </c>
      <c r="B11" s="2">
        <v>-100000</v>
      </c>
      <c r="C11" s="2">
        <v>40000</v>
      </c>
      <c r="D11" s="2">
        <v>40000</v>
      </c>
      <c r="E11" s="2">
        <v>40000</v>
      </c>
      <c r="F11" s="2">
        <v>40000</v>
      </c>
      <c r="G11" s="2">
        <v>40000</v>
      </c>
    </row>
    <row r="13" spans="1:7" x14ac:dyDescent="0.35">
      <c r="A13" t="s">
        <v>15</v>
      </c>
      <c r="B13" s="2">
        <f>NPV(B7,C11:G11)</f>
        <v>130971.74614644944</v>
      </c>
    </row>
    <row r="14" spans="1:7" x14ac:dyDescent="0.35">
      <c r="A14" t="s">
        <v>10</v>
      </c>
      <c r="B14" s="2">
        <f>B4</f>
        <v>100000</v>
      </c>
    </row>
    <row r="15" spans="1:7" x14ac:dyDescent="0.35">
      <c r="A15" t="s">
        <v>16</v>
      </c>
      <c r="B15" s="2">
        <f>B13-B14</f>
        <v>30971.746146449441</v>
      </c>
    </row>
    <row r="17" spans="1:2" x14ac:dyDescent="0.35">
      <c r="A17" t="s">
        <v>17</v>
      </c>
      <c r="B17" s="1">
        <f>IRR(B11:G11)</f>
        <v>0.28649290249767545</v>
      </c>
    </row>
    <row r="19" spans="1:2" x14ac:dyDescent="0.35">
      <c r="A19" s="6"/>
      <c r="B19" s="6"/>
    </row>
    <row r="20" spans="1:2" x14ac:dyDescent="0.35">
      <c r="A20" s="6"/>
      <c r="B20" s="6"/>
    </row>
    <row r="21" spans="1:2" x14ac:dyDescent="0.35">
      <c r="A21" s="6"/>
      <c r="B21" s="6"/>
    </row>
    <row r="25" spans="1:2" x14ac:dyDescent="0.35">
      <c r="A25" t="s">
        <v>12</v>
      </c>
    </row>
    <row r="28" spans="1:2" x14ac:dyDescent="0.35">
      <c r="A28" t="s">
        <v>10</v>
      </c>
      <c r="B28" s="2">
        <v>225000</v>
      </c>
    </row>
    <row r="29" spans="1:2" x14ac:dyDescent="0.35">
      <c r="A29" t="s">
        <v>13</v>
      </c>
      <c r="B29" s="2">
        <v>50000</v>
      </c>
    </row>
    <row r="30" spans="1:2" x14ac:dyDescent="0.35">
      <c r="A30" t="s">
        <v>4</v>
      </c>
      <c r="B30">
        <v>8</v>
      </c>
    </row>
    <row r="31" spans="1:2" x14ac:dyDescent="0.35">
      <c r="A31" t="s">
        <v>5</v>
      </c>
      <c r="B31" s="1">
        <v>0.14000000000000001</v>
      </c>
    </row>
    <row r="33" spans="1:10" x14ac:dyDescent="0.35">
      <c r="A33" s="6" t="s">
        <v>14</v>
      </c>
      <c r="B33" s="6"/>
      <c r="C33" s="6"/>
      <c r="D33" s="6"/>
      <c r="E33" s="6"/>
      <c r="F33" s="6"/>
      <c r="G33" s="6"/>
    </row>
    <row r="34" spans="1:10" x14ac:dyDescent="0.35">
      <c r="A34" t="s">
        <v>7</v>
      </c>
      <c r="B34">
        <v>0</v>
      </c>
      <c r="C34">
        <v>1</v>
      </c>
      <c r="D34">
        <v>2</v>
      </c>
      <c r="E34">
        <v>3</v>
      </c>
      <c r="F34">
        <v>4</v>
      </c>
      <c r="G34">
        <v>5</v>
      </c>
      <c r="H34">
        <v>6</v>
      </c>
      <c r="I34">
        <v>7</v>
      </c>
      <c r="J34">
        <v>8</v>
      </c>
    </row>
    <row r="35" spans="1:10" x14ac:dyDescent="0.35">
      <c r="A35" t="s">
        <v>8</v>
      </c>
      <c r="B35" s="2">
        <f>-$B$28</f>
        <v>-225000</v>
      </c>
      <c r="C35" s="2">
        <f t="shared" ref="C35:J35" si="0">$B$29</f>
        <v>50000</v>
      </c>
      <c r="D35" s="2">
        <f t="shared" si="0"/>
        <v>50000</v>
      </c>
      <c r="E35" s="2">
        <f t="shared" si="0"/>
        <v>50000</v>
      </c>
      <c r="F35" s="2">
        <f t="shared" si="0"/>
        <v>50000</v>
      </c>
      <c r="G35" s="2">
        <f t="shared" si="0"/>
        <v>50000</v>
      </c>
      <c r="H35" s="2">
        <f t="shared" si="0"/>
        <v>50000</v>
      </c>
      <c r="I35" s="2">
        <f t="shared" si="0"/>
        <v>50000</v>
      </c>
      <c r="J35" s="2">
        <f t="shared" si="0"/>
        <v>50000</v>
      </c>
    </row>
    <row r="37" spans="1:10" x14ac:dyDescent="0.35">
      <c r="A37" t="s">
        <v>15</v>
      </c>
      <c r="B37" s="2">
        <f>NPV(B31,C35:J35)</f>
        <v>231943.19469615677</v>
      </c>
    </row>
    <row r="38" spans="1:10" x14ac:dyDescent="0.35">
      <c r="A38" t="s">
        <v>10</v>
      </c>
      <c r="B38" s="2">
        <f>B28</f>
        <v>225000</v>
      </c>
    </row>
    <row r="39" spans="1:10" x14ac:dyDescent="0.35">
      <c r="A39" t="s">
        <v>16</v>
      </c>
      <c r="B39" s="2">
        <f>B37-B38</f>
        <v>6943.1946961567737</v>
      </c>
    </row>
    <row r="41" spans="1:10" x14ac:dyDescent="0.35">
      <c r="A41" t="s">
        <v>17</v>
      </c>
      <c r="B41" s="1">
        <f>IRR(B35:J35)</f>
        <v>0.14914267030703732</v>
      </c>
    </row>
    <row r="43" spans="1:10" x14ac:dyDescent="0.35">
      <c r="A43" s="6"/>
      <c r="B43" s="6"/>
    </row>
  </sheetData>
  <mergeCells count="6">
    <mergeCell ref="A43:B43"/>
    <mergeCell ref="A9:G9"/>
    <mergeCell ref="A19:B19"/>
    <mergeCell ref="A20:B20"/>
    <mergeCell ref="A21:B21"/>
    <mergeCell ref="A33:G3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73BD2-E3AE-4701-8CFA-576AB0A35CC0}">
  <dimension ref="A1:H30"/>
  <sheetViews>
    <sheetView tabSelected="1" topLeftCell="A13" workbookViewId="0">
      <selection activeCell="C26" sqref="C26"/>
    </sheetView>
  </sheetViews>
  <sheetFormatPr defaultRowHeight="14.5" x14ac:dyDescent="0.35"/>
  <cols>
    <col min="1" max="1" width="28.7265625" bestFit="1" customWidth="1"/>
    <col min="2" max="2" width="11.6328125" bestFit="1" customWidth="1"/>
    <col min="3" max="4" width="11.54296875" bestFit="1" customWidth="1"/>
    <col min="5" max="8" width="11" bestFit="1" customWidth="1"/>
  </cols>
  <sheetData>
    <row r="1" spans="1:8" x14ac:dyDescent="0.35">
      <c r="A1" t="s">
        <v>18</v>
      </c>
    </row>
    <row r="3" spans="1:8" x14ac:dyDescent="0.35">
      <c r="A3" s="6" t="s">
        <v>7</v>
      </c>
      <c r="B3" s="6"/>
      <c r="C3" s="6"/>
      <c r="D3" s="6"/>
      <c r="E3" s="6"/>
      <c r="F3" s="6"/>
      <c r="G3" s="6"/>
      <c r="H3" s="6"/>
    </row>
    <row r="4" spans="1:8" x14ac:dyDescent="0.35">
      <c r="B4">
        <v>0</v>
      </c>
      <c r="C4">
        <v>1</v>
      </c>
      <c r="D4" s="3">
        <v>2</v>
      </c>
      <c r="E4" s="3">
        <v>3</v>
      </c>
      <c r="F4">
        <v>4</v>
      </c>
      <c r="G4">
        <v>5</v>
      </c>
      <c r="H4">
        <v>6</v>
      </c>
    </row>
    <row r="5" spans="1:8" x14ac:dyDescent="0.35">
      <c r="A5" t="s">
        <v>8</v>
      </c>
      <c r="B5" s="2">
        <v>-48000</v>
      </c>
      <c r="C5" s="2">
        <v>20000</v>
      </c>
      <c r="D5" s="2">
        <v>18000</v>
      </c>
      <c r="E5" s="2">
        <v>15000</v>
      </c>
      <c r="F5" s="2">
        <v>12000</v>
      </c>
      <c r="G5" s="2">
        <v>10000</v>
      </c>
      <c r="H5" s="2">
        <v>10000</v>
      </c>
    </row>
    <row r="6" spans="1:8" x14ac:dyDescent="0.35">
      <c r="A6" t="s">
        <v>19</v>
      </c>
      <c r="B6" s="2">
        <v>-48000</v>
      </c>
      <c r="C6" s="2">
        <v>-28000</v>
      </c>
      <c r="D6" s="4">
        <v>-10000</v>
      </c>
      <c r="E6" s="4">
        <v>5000</v>
      </c>
      <c r="F6" s="2">
        <v>17000</v>
      </c>
      <c r="G6" s="2">
        <v>27000</v>
      </c>
      <c r="H6" s="2">
        <v>37000</v>
      </c>
    </row>
    <row r="7" spans="1:8" x14ac:dyDescent="0.35">
      <c r="D7" s="7" t="s">
        <v>20</v>
      </c>
      <c r="E7" s="7"/>
    </row>
    <row r="8" spans="1:8" x14ac:dyDescent="0.35">
      <c r="A8" t="s">
        <v>21</v>
      </c>
      <c r="B8" s="5">
        <f>D4+(-D6/E5)</f>
        <v>2.6666666666666665</v>
      </c>
    </row>
    <row r="20" spans="1:8" x14ac:dyDescent="0.35">
      <c r="A20" t="s">
        <v>22</v>
      </c>
    </row>
    <row r="23" spans="1:8" x14ac:dyDescent="0.35">
      <c r="A23" s="6" t="s">
        <v>7</v>
      </c>
      <c r="B23" s="6"/>
      <c r="C23" s="6"/>
      <c r="D23" s="6"/>
      <c r="E23" s="6"/>
      <c r="F23" s="6"/>
      <c r="G23" s="6"/>
      <c r="H23" s="6"/>
    </row>
    <row r="24" spans="1:8" x14ac:dyDescent="0.35">
      <c r="B24">
        <v>0</v>
      </c>
      <c r="C24">
        <v>1</v>
      </c>
      <c r="D24">
        <v>2</v>
      </c>
      <c r="E24">
        <v>3</v>
      </c>
      <c r="F24" s="3">
        <v>4</v>
      </c>
      <c r="G24" s="3">
        <v>5</v>
      </c>
      <c r="H24">
        <v>6</v>
      </c>
    </row>
    <row r="25" spans="1:8" x14ac:dyDescent="0.35">
      <c r="A25" t="s">
        <v>8</v>
      </c>
      <c r="B25" s="2">
        <v>-48000</v>
      </c>
      <c r="C25" s="2">
        <v>20000</v>
      </c>
      <c r="D25" s="2">
        <v>18000</v>
      </c>
      <c r="E25" s="2">
        <v>15000</v>
      </c>
      <c r="F25" s="2">
        <v>12000</v>
      </c>
      <c r="G25" s="2">
        <v>10000</v>
      </c>
      <c r="H25" s="2">
        <v>10000</v>
      </c>
    </row>
    <row r="26" spans="1:8" x14ac:dyDescent="0.35">
      <c r="A26" t="s">
        <v>23</v>
      </c>
      <c r="B26">
        <f>1/(1+15%)^B24</f>
        <v>1</v>
      </c>
      <c r="C26">
        <f>1/(1+15%)^C24</f>
        <v>0.86956521739130443</v>
      </c>
      <c r="D26">
        <f t="shared" ref="D26:H26" si="0">1/(1+15%)^D24</f>
        <v>0.7561436672967865</v>
      </c>
      <c r="E26">
        <f t="shared" si="0"/>
        <v>0.65751623243198831</v>
      </c>
      <c r="F26">
        <f t="shared" si="0"/>
        <v>0.57175324559303342</v>
      </c>
      <c r="G26">
        <f t="shared" si="0"/>
        <v>0.49717673529828987</v>
      </c>
      <c r="H26">
        <f t="shared" si="0"/>
        <v>0.43232759591155645</v>
      </c>
    </row>
    <row r="27" spans="1:8" x14ac:dyDescent="0.35">
      <c r="A27" t="s">
        <v>24</v>
      </c>
      <c r="B27" s="2">
        <f>B25*B26</f>
        <v>-48000</v>
      </c>
      <c r="C27" s="2">
        <f t="shared" ref="C27:H27" si="1">C25*C26</f>
        <v>17391.304347826088</v>
      </c>
      <c r="D27" s="2">
        <f t="shared" si="1"/>
        <v>13610.586011342157</v>
      </c>
      <c r="E27" s="2">
        <f t="shared" si="1"/>
        <v>9862.7434864798252</v>
      </c>
      <c r="F27" s="2">
        <f t="shared" si="1"/>
        <v>6861.0389471164008</v>
      </c>
      <c r="G27" s="2">
        <f t="shared" si="1"/>
        <v>4971.767352982899</v>
      </c>
      <c r="H27" s="2">
        <f t="shared" si="1"/>
        <v>4323.2759591155645</v>
      </c>
    </row>
    <row r="28" spans="1:8" x14ac:dyDescent="0.35">
      <c r="A28" t="s">
        <v>19</v>
      </c>
      <c r="B28" s="2">
        <f>B27</f>
        <v>-48000</v>
      </c>
      <c r="C28" s="2">
        <f>B28+C27</f>
        <v>-30608.695652173912</v>
      </c>
      <c r="D28" s="2">
        <f>C28+D27</f>
        <v>-16998.109640831753</v>
      </c>
      <c r="E28" s="2">
        <f t="shared" ref="E28:H28" si="2">D28+E27</f>
        <v>-7135.3661543519283</v>
      </c>
      <c r="F28" s="4">
        <f t="shared" si="2"/>
        <v>-274.32720723552757</v>
      </c>
      <c r="G28" s="4">
        <f t="shared" si="2"/>
        <v>4697.4401457473714</v>
      </c>
      <c r="H28" s="2">
        <f t="shared" si="2"/>
        <v>9020.716104862935</v>
      </c>
    </row>
    <row r="29" spans="1:8" x14ac:dyDescent="0.35">
      <c r="F29" s="7" t="s">
        <v>25</v>
      </c>
      <c r="G29" s="7"/>
    </row>
    <row r="30" spans="1:8" x14ac:dyDescent="0.35">
      <c r="A30" t="s">
        <v>26</v>
      </c>
      <c r="B30" s="5">
        <f>F24+(-F28/G27)</f>
        <v>4.0551769999999978</v>
      </c>
    </row>
  </sheetData>
  <mergeCells count="4">
    <mergeCell ref="A3:H3"/>
    <mergeCell ref="D7:E7"/>
    <mergeCell ref="A23:H23"/>
    <mergeCell ref="F29:G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NPV</vt:lpstr>
      <vt:lpstr>IRR</vt:lpstr>
      <vt:lpstr>PBP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 Novrian Ahmad Lbn Gaol</dc:creator>
  <cp:lastModifiedBy>Dani Novrian Ahmad Lbn Gaol</cp:lastModifiedBy>
  <dcterms:created xsi:type="dcterms:W3CDTF">2026-04-15T02:13:15Z</dcterms:created>
  <dcterms:modified xsi:type="dcterms:W3CDTF">2026-04-17T02:15:20Z</dcterms:modified>
</cp:coreProperties>
</file>